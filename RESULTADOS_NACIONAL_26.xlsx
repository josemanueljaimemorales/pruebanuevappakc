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0"/>
  <workbookPr updateLinks="always"/>
  <mc:AlternateContent xmlns:mc="http://schemas.openxmlformats.org/markup-compatibility/2006">
    <mc:Choice Requires="x15">
      <x15ac:absPath xmlns:x15ac="http://schemas.microsoft.com/office/spreadsheetml/2010/11/ac" url="https://d.docs.live.net/55b6a939d4276db6/Informes GAVAKC por ciclo/CICLO 25-26/RESULTADOS DE EVENTOS/"/>
    </mc:Choice>
  </mc:AlternateContent>
  <xr:revisionPtr revIDLastSave="3367" documentId="11_B4E4C8AA51F3C27CE5073FFB04DDBE9ADA2D970B" xr6:coauthVersionLast="47" xr6:coauthVersionMax="47" xr10:uidLastSave="{6C7BB875-F015-4EC7-871E-70BABDFD6C07}"/>
  <bookViews>
    <workbookView xWindow="0" yWindow="500" windowWidth="33600" windowHeight="20500" firstSheet="1" xr2:uid="{00000000-000D-0000-FFFF-FFFF00000000}"/>
  </bookViews>
  <sheets>
    <sheet name="Hoja3" sheetId="8" r:id="rId1"/>
    <sheet name="Hoja2" sheetId="2" r:id="rId2"/>
  </sheets>
  <externalReferences>
    <externalReference r:id="rId3"/>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9" i="2" l="1"/>
  <c r="I9" i="2"/>
  <c r="H9" i="2"/>
  <c r="G9" i="2"/>
  <c r="F9" i="2"/>
  <c r="E9" i="2"/>
  <c r="K9" i="2"/>
  <c r="B9" i="2"/>
  <c r="A9" i="2"/>
  <c r="J14" i="2"/>
  <c r="I14" i="2"/>
  <c r="H14" i="2"/>
  <c r="G14" i="2"/>
  <c r="F14" i="2"/>
  <c r="E14" i="2"/>
  <c r="B14" i="2"/>
  <c r="A14" i="2"/>
  <c r="K14" i="2"/>
  <c r="P60" i="8"/>
  <c r="O60" i="8"/>
  <c r="N60" i="8"/>
  <c r="M60" i="8"/>
  <c r="L60" i="8"/>
  <c r="K60" i="8"/>
  <c r="J60" i="8"/>
  <c r="I60" i="8"/>
  <c r="H60" i="8"/>
  <c r="G60" i="8"/>
  <c r="F60" i="8"/>
  <c r="E60" i="8"/>
  <c r="P58" i="8"/>
  <c r="O58" i="8"/>
  <c r="N58" i="8"/>
  <c r="M58" i="8"/>
  <c r="L58" i="8"/>
  <c r="K58" i="8"/>
  <c r="J58" i="8"/>
  <c r="I58" i="8"/>
  <c r="H58" i="8"/>
  <c r="G58" i="8"/>
  <c r="R59" i="8"/>
  <c r="Q59" i="8"/>
  <c r="D59" i="8"/>
  <c r="F58" i="8"/>
  <c r="E58" i="8"/>
  <c r="R57" i="8"/>
  <c r="Q57" i="8"/>
  <c r="D57" i="8"/>
  <c r="O5" i="8"/>
  <c r="M5" i="8"/>
  <c r="K5" i="8"/>
  <c r="I5" i="8"/>
  <c r="G5" i="8"/>
  <c r="E5" i="8"/>
  <c r="F54" i="8"/>
  <c r="F46" i="8"/>
  <c r="F34" i="8"/>
  <c r="F56" i="8"/>
  <c r="F36" i="8"/>
  <c r="F48" i="8"/>
  <c r="F50" i="8"/>
  <c r="F38" i="8"/>
  <c r="F44" i="8"/>
  <c r="F28" i="8"/>
  <c r="F40" i="8"/>
  <c r="F42" i="8"/>
  <c r="F32" i="8"/>
  <c r="F26" i="8"/>
  <c r="F30" i="8"/>
  <c r="F24" i="8"/>
  <c r="H52" i="8"/>
  <c r="H54" i="8"/>
  <c r="H46" i="8"/>
  <c r="H34" i="8"/>
  <c r="H56" i="8"/>
  <c r="H36" i="8"/>
  <c r="H48" i="8"/>
  <c r="H50" i="8"/>
  <c r="H38" i="8"/>
  <c r="H44" i="8"/>
  <c r="H28" i="8"/>
  <c r="H40" i="8"/>
  <c r="H42" i="8"/>
  <c r="H32" i="8"/>
  <c r="H26" i="8"/>
  <c r="H30" i="8"/>
  <c r="H24" i="8"/>
  <c r="J52" i="8"/>
  <c r="J54" i="8"/>
  <c r="J46" i="8"/>
  <c r="J34" i="8"/>
  <c r="J56" i="8"/>
  <c r="J36" i="8"/>
  <c r="J48" i="8"/>
  <c r="J50" i="8"/>
  <c r="J38" i="8"/>
  <c r="J44" i="8"/>
  <c r="J28" i="8"/>
  <c r="J40" i="8"/>
  <c r="J42" i="8"/>
  <c r="J32" i="8"/>
  <c r="J26" i="8"/>
  <c r="J30" i="8"/>
  <c r="J24" i="8"/>
  <c r="L52" i="8"/>
  <c r="L54" i="8"/>
  <c r="L46" i="8"/>
  <c r="L34" i="8"/>
  <c r="L56" i="8"/>
  <c r="L36" i="8"/>
  <c r="L48" i="8"/>
  <c r="L50" i="8"/>
  <c r="L38" i="8"/>
  <c r="L44" i="8"/>
  <c r="L28" i="8"/>
  <c r="L40" i="8"/>
  <c r="L42" i="8"/>
  <c r="L32" i="8"/>
  <c r="L26" i="8"/>
  <c r="L30" i="8"/>
  <c r="L24" i="8"/>
  <c r="N52" i="8"/>
  <c r="N54" i="8"/>
  <c r="N46" i="8"/>
  <c r="N34" i="8"/>
  <c r="N56" i="8"/>
  <c r="N36" i="8"/>
  <c r="N48" i="8"/>
  <c r="N50" i="8"/>
  <c r="N38" i="8"/>
  <c r="N44" i="8"/>
  <c r="N28" i="8"/>
  <c r="N40" i="8"/>
  <c r="N42" i="8"/>
  <c r="N32" i="8"/>
  <c r="N26" i="8"/>
  <c r="N30" i="8"/>
  <c r="N24" i="8"/>
  <c r="P52" i="8"/>
  <c r="P54" i="8"/>
  <c r="P46" i="8"/>
  <c r="P34" i="8"/>
  <c r="P56" i="8"/>
  <c r="P36" i="8"/>
  <c r="P48" i="8"/>
  <c r="P50" i="8"/>
  <c r="P38" i="8"/>
  <c r="P44" i="8"/>
  <c r="P28" i="8"/>
  <c r="P40" i="8"/>
  <c r="P42" i="8"/>
  <c r="P32" i="8"/>
  <c r="P26" i="8"/>
  <c r="P30" i="8"/>
  <c r="P24" i="8"/>
  <c r="F52" i="8"/>
  <c r="R51" i="8"/>
  <c r="R53" i="8"/>
  <c r="R45" i="8"/>
  <c r="R33" i="8"/>
  <c r="R55" i="8"/>
  <c r="R37" i="8"/>
  <c r="R49" i="8"/>
  <c r="R47" i="8"/>
  <c r="R43" i="8"/>
  <c r="R35" i="8"/>
  <c r="R27" i="8"/>
  <c r="R41" i="8"/>
  <c r="R31" i="8"/>
  <c r="R39" i="8"/>
  <c r="R29" i="8"/>
  <c r="R25" i="8"/>
  <c r="R23" i="8"/>
  <c r="Q55" i="8"/>
  <c r="D55" i="8"/>
  <c r="E56" i="8"/>
  <c r="G56" i="8"/>
  <c r="I56" i="8"/>
  <c r="K56" i="8"/>
  <c r="M56" i="8"/>
  <c r="O56" i="8"/>
  <c r="Q53" i="8"/>
  <c r="D53" i="8"/>
  <c r="E54" i="8"/>
  <c r="G54" i="8"/>
  <c r="I54" i="8"/>
  <c r="K54" i="8"/>
  <c r="M54" i="8"/>
  <c r="O54" i="8"/>
  <c r="O52" i="8"/>
  <c r="M52" i="8"/>
  <c r="K52" i="8"/>
  <c r="I52" i="8"/>
  <c r="G52" i="8"/>
  <c r="E52" i="8"/>
  <c r="Q51" i="8"/>
  <c r="D51" i="8"/>
  <c r="Q49" i="8"/>
  <c r="D49" i="8"/>
  <c r="E50" i="8"/>
  <c r="G50" i="8"/>
  <c r="I50" i="8"/>
  <c r="K50" i="8"/>
  <c r="M50" i="8"/>
  <c r="O50" i="8"/>
  <c r="Q47" i="8"/>
  <c r="D47" i="8"/>
  <c r="E48" i="8"/>
  <c r="G48" i="8"/>
  <c r="I48" i="8"/>
  <c r="K48" i="8"/>
  <c r="M48" i="8"/>
  <c r="O48" i="8"/>
  <c r="O46" i="8"/>
  <c r="M46" i="8"/>
  <c r="K46" i="8"/>
  <c r="I46" i="8"/>
  <c r="G46" i="8"/>
  <c r="E46" i="8"/>
  <c r="Q45" i="8"/>
  <c r="D45" i="8"/>
  <c r="Q43" i="8"/>
  <c r="D43" i="8"/>
  <c r="E44" i="8"/>
  <c r="G44" i="8"/>
  <c r="I44" i="8"/>
  <c r="K44" i="8"/>
  <c r="M44" i="8"/>
  <c r="O44" i="8"/>
  <c r="Q41" i="8"/>
  <c r="D41" i="8"/>
  <c r="E42" i="8"/>
  <c r="G42" i="8"/>
  <c r="I42" i="8"/>
  <c r="K42" i="8"/>
  <c r="M42" i="8"/>
  <c r="O42" i="8"/>
  <c r="Q39" i="8"/>
  <c r="D39" i="8"/>
  <c r="E40" i="8"/>
  <c r="G40" i="8"/>
  <c r="I40" i="8"/>
  <c r="K40" i="8"/>
  <c r="M40" i="8"/>
  <c r="O40" i="8"/>
  <c r="O38" i="8"/>
  <c r="M38" i="8"/>
  <c r="K38" i="8"/>
  <c r="I38" i="8"/>
  <c r="G38" i="8"/>
  <c r="E38" i="8"/>
  <c r="Q37" i="8"/>
  <c r="D37" i="8"/>
  <c r="O36" i="8"/>
  <c r="M36" i="8"/>
  <c r="K36" i="8"/>
  <c r="I36" i="8"/>
  <c r="G36" i="8"/>
  <c r="E36" i="8"/>
  <c r="Q35" i="8"/>
  <c r="D35" i="8"/>
  <c r="O34" i="8"/>
  <c r="M34" i="8"/>
  <c r="K34" i="8"/>
  <c r="I34" i="8"/>
  <c r="G34" i="8"/>
  <c r="E34" i="8"/>
  <c r="Q33" i="8"/>
  <c r="D33" i="8"/>
  <c r="Q31" i="8"/>
  <c r="D31" i="8"/>
  <c r="E32" i="8"/>
  <c r="G32" i="8"/>
  <c r="I32" i="8"/>
  <c r="K32" i="8"/>
  <c r="M32" i="8"/>
  <c r="O32" i="8"/>
  <c r="Q29" i="8"/>
  <c r="D29" i="8"/>
  <c r="E30" i="8"/>
  <c r="G30" i="8"/>
  <c r="I30" i="8"/>
  <c r="K30" i="8"/>
  <c r="M30" i="8"/>
  <c r="O30" i="8"/>
  <c r="O28" i="8"/>
  <c r="M28" i="8"/>
  <c r="K28" i="8"/>
  <c r="I28" i="8"/>
  <c r="G28" i="8"/>
  <c r="E28" i="8"/>
  <c r="Q27" i="8"/>
  <c r="D27" i="8"/>
  <c r="Q25" i="8"/>
  <c r="D25" i="8"/>
  <c r="E26" i="8"/>
  <c r="G26" i="8"/>
  <c r="I26" i="8"/>
  <c r="K26" i="8"/>
  <c r="M26" i="8"/>
  <c r="O26" i="8"/>
  <c r="Q23" i="8"/>
  <c r="D23" i="8"/>
  <c r="E24" i="8"/>
  <c r="G24" i="8"/>
  <c r="I24" i="8"/>
  <c r="K24" i="8"/>
  <c r="M24" i="8"/>
  <c r="O24" i="8"/>
  <c r="Q20" i="8"/>
  <c r="D20" i="8"/>
  <c r="E21" i="8"/>
  <c r="G21" i="8"/>
  <c r="I21" i="8"/>
  <c r="K21" i="8"/>
  <c r="M21" i="8"/>
  <c r="O21" i="8"/>
  <c r="Q18" i="8"/>
  <c r="D18" i="8"/>
  <c r="E19" i="8"/>
  <c r="G19" i="8"/>
  <c r="I19" i="8"/>
  <c r="K19" i="8"/>
  <c r="M19" i="8"/>
  <c r="O19" i="8"/>
  <c r="Q16" i="8"/>
  <c r="D16" i="8"/>
  <c r="E17" i="8"/>
  <c r="G17" i="8"/>
  <c r="I17" i="8"/>
  <c r="K17" i="8"/>
  <c r="M17" i="8"/>
  <c r="O17" i="8"/>
  <c r="O13" i="8"/>
  <c r="M13" i="8"/>
  <c r="K13" i="8"/>
  <c r="I13" i="8"/>
  <c r="G13" i="8"/>
  <c r="E13" i="8"/>
  <c r="Q12" i="8"/>
  <c r="D12" i="8"/>
  <c r="Q14" i="8"/>
  <c r="D14" i="8"/>
  <c r="E15" i="8"/>
  <c r="G15" i="8"/>
  <c r="I15" i="8"/>
  <c r="K15" i="8"/>
  <c r="M15" i="8"/>
  <c r="O15" i="8"/>
  <c r="O9" i="8"/>
  <c r="M9" i="8"/>
  <c r="K9" i="8"/>
  <c r="I9" i="8"/>
  <c r="G9" i="8"/>
  <c r="E9" i="8"/>
  <c r="Q8" i="8"/>
  <c r="D8" i="8"/>
  <c r="O7" i="8"/>
  <c r="M7" i="8"/>
  <c r="K7" i="8"/>
  <c r="I7" i="8"/>
  <c r="G7" i="8"/>
  <c r="E7" i="8"/>
  <c r="Q6" i="8"/>
  <c r="D6" i="8"/>
  <c r="O11" i="8"/>
  <c r="M11" i="8"/>
  <c r="K11" i="8"/>
  <c r="I11" i="8"/>
  <c r="G11" i="8"/>
  <c r="E11" i="8"/>
  <c r="Q10" i="8"/>
  <c r="D10" i="8"/>
  <c r="Q4" i="8"/>
  <c r="D4" i="8"/>
  <c r="B37" i="2" a="1"/>
  <c r="J26" i="2"/>
  <c r="I26" i="2"/>
  <c r="H26" i="2"/>
  <c r="G26" i="2"/>
  <c r="F26" i="2"/>
  <c r="E26" i="2"/>
  <c r="K26" i="2"/>
  <c r="A26" i="2"/>
  <c r="B26" i="2"/>
  <c r="J10" i="2"/>
  <c r="I10" i="2"/>
  <c r="H10" i="2"/>
  <c r="G10" i="2"/>
  <c r="F10" i="2"/>
  <c r="E10" i="2"/>
  <c r="B10" i="2"/>
  <c r="A10" i="2"/>
  <c r="J20" i="2"/>
  <c r="I20" i="2"/>
  <c r="H20" i="2"/>
  <c r="G20" i="2"/>
  <c r="F20" i="2"/>
  <c r="E20" i="2"/>
  <c r="K20" i="2"/>
  <c r="A20" i="2"/>
  <c r="B20" i="2"/>
  <c r="J29" i="2"/>
  <c r="I29" i="2"/>
  <c r="H29" i="2"/>
  <c r="G29" i="2"/>
  <c r="F29" i="2"/>
  <c r="E29" i="2"/>
  <c r="A29" i="2"/>
  <c r="H24" i="2"/>
  <c r="B29" i="2"/>
  <c r="K29" i="2"/>
  <c r="J19" i="2"/>
  <c r="I19" i="2"/>
  <c r="H19" i="2"/>
  <c r="G19" i="2"/>
  <c r="F19" i="2"/>
  <c r="E19" i="2"/>
  <c r="A19" i="2"/>
  <c r="E16" i="2"/>
  <c r="J4" i="2"/>
  <c r="I4" i="2"/>
  <c r="H4" i="2"/>
  <c r="G4" i="2"/>
  <c r="F4" i="2"/>
  <c r="E4" i="2"/>
  <c r="K4" i="2"/>
  <c r="B4" i="2"/>
  <c r="A4" i="2"/>
  <c r="J17" i="2"/>
  <c r="I17" i="2"/>
  <c r="H17" i="2"/>
  <c r="G17" i="2"/>
  <c r="F17" i="2"/>
  <c r="E17" i="2"/>
  <c r="K17" i="2"/>
  <c r="B17" i="2"/>
  <c r="A17" i="2"/>
  <c r="E7" i="2"/>
  <c r="J11" i="2"/>
  <c r="I11" i="2"/>
  <c r="H11" i="2"/>
  <c r="G11" i="2"/>
  <c r="F11" i="2"/>
  <c r="E11" i="2"/>
  <c r="A11" i="2"/>
  <c r="B11" i="2"/>
  <c r="B19" i="2"/>
  <c r="J16" i="2"/>
  <c r="I16" i="2"/>
  <c r="H16" i="2"/>
  <c r="G16" i="2"/>
  <c r="F16" i="2"/>
  <c r="A16" i="2"/>
  <c r="B16" i="2"/>
  <c r="J15" i="2"/>
  <c r="I15" i="2"/>
  <c r="H15" i="2"/>
  <c r="G15" i="2"/>
  <c r="F15" i="2"/>
  <c r="E15" i="2"/>
  <c r="B15" i="2"/>
  <c r="A15" i="2"/>
  <c r="B12" i="2"/>
  <c r="A12" i="2"/>
  <c r="E12" i="2"/>
  <c r="F12" i="2"/>
  <c r="G12" i="2"/>
  <c r="H12" i="2"/>
  <c r="I12" i="2"/>
  <c r="J12" i="2"/>
  <c r="K12" i="2"/>
  <c r="J8" i="2"/>
  <c r="I8" i="2"/>
  <c r="H8" i="2"/>
  <c r="G8" i="2"/>
  <c r="F8" i="2"/>
  <c r="E8" i="2"/>
  <c r="A8" i="2"/>
  <c r="J2" i="2"/>
  <c r="I2" i="2"/>
  <c r="H2" i="2"/>
  <c r="G2" i="2"/>
  <c r="F2" i="2"/>
  <c r="E2" i="2"/>
  <c r="A2" i="2"/>
  <c r="B8" i="2"/>
  <c r="B2" i="2"/>
  <c r="B28" i="2"/>
  <c r="B27" i="2"/>
  <c r="B25" i="2"/>
  <c r="B24" i="2"/>
  <c r="B23" i="2"/>
  <c r="B21" i="2"/>
  <c r="B22" i="2"/>
  <c r="B18" i="2"/>
  <c r="B7" i="2"/>
  <c r="B6" i="2"/>
  <c r="B13" i="2"/>
  <c r="B5" i="2"/>
  <c r="B3" i="2"/>
  <c r="J21" i="2"/>
  <c r="I21" i="2"/>
  <c r="H21" i="2"/>
  <c r="G21" i="2"/>
  <c r="F21" i="2"/>
  <c r="E21" i="2"/>
  <c r="A21" i="2"/>
  <c r="A27" i="2"/>
  <c r="J27" i="2"/>
  <c r="I27" i="2"/>
  <c r="H27" i="2"/>
  <c r="G27" i="2"/>
  <c r="F27" i="2"/>
  <c r="E27" i="2"/>
  <c r="J24" i="2"/>
  <c r="I24" i="2"/>
  <c r="G24" i="2"/>
  <c r="F24" i="2"/>
  <c r="E24" i="2"/>
  <c r="A24" i="2"/>
  <c r="K8" i="2"/>
  <c r="J22" i="2"/>
  <c r="I22" i="2"/>
  <c r="H22" i="2"/>
  <c r="G22" i="2"/>
  <c r="F22" i="2"/>
  <c r="E22" i="2"/>
  <c r="A22" i="2"/>
  <c r="J6" i="2"/>
  <c r="I6" i="2"/>
  <c r="H6" i="2"/>
  <c r="G6" i="2"/>
  <c r="F6" i="2"/>
  <c r="E6" i="2"/>
  <c r="A6" i="2"/>
  <c r="J18" i="2"/>
  <c r="I18" i="2"/>
  <c r="H18" i="2"/>
  <c r="G18" i="2"/>
  <c r="F18" i="2"/>
  <c r="E18" i="2"/>
  <c r="A18" i="2"/>
  <c r="J3" i="2"/>
  <c r="I3" i="2"/>
  <c r="H3" i="2"/>
  <c r="G3" i="2"/>
  <c r="F3" i="2"/>
  <c r="E3" i="2"/>
  <c r="A3" i="2"/>
  <c r="J7" i="2"/>
  <c r="I7" i="2"/>
  <c r="H7" i="2"/>
  <c r="G7" i="2"/>
  <c r="F7" i="2"/>
  <c r="A7" i="2"/>
  <c r="J5" i="2"/>
  <c r="I5" i="2"/>
  <c r="H5" i="2"/>
  <c r="G5" i="2"/>
  <c r="F5" i="2"/>
  <c r="E5" i="2"/>
  <c r="A5" i="2"/>
  <c r="J13" i="2"/>
  <c r="I13" i="2"/>
  <c r="H13" i="2"/>
  <c r="G13" i="2"/>
  <c r="F13" i="2"/>
  <c r="E13" i="2"/>
  <c r="A13" i="2"/>
  <c r="J25" i="2"/>
  <c r="I25" i="2"/>
  <c r="H25" i="2"/>
  <c r="G25" i="2"/>
  <c r="F25" i="2"/>
  <c r="E25" i="2"/>
  <c r="A25" i="2"/>
  <c r="J28" i="2"/>
  <c r="I28" i="2"/>
  <c r="H28" i="2"/>
  <c r="G28" i="2"/>
  <c r="F28" i="2"/>
  <c r="E28" i="2"/>
  <c r="A28" i="2"/>
  <c r="J23" i="2"/>
  <c r="I23" i="2"/>
  <c r="H23" i="2"/>
  <c r="G23" i="2"/>
  <c r="F23" i="2"/>
  <c r="E23" i="2"/>
  <c r="A23" i="2"/>
  <c r="K10" i="2"/>
  <c r="K23" i="2" l="1"/>
  <c r="K28" i="2"/>
  <c r="K25" i="2"/>
  <c r="K13" i="2"/>
  <c r="K5" i="2"/>
  <c r="K3" i="2"/>
  <c r="K18" i="2"/>
  <c r="K6" i="2"/>
  <c r="K22" i="2"/>
  <c r="K24" i="2"/>
  <c r="K27" i="2"/>
  <c r="K21" i="2"/>
  <c r="K2" i="2"/>
  <c r="K15" i="2"/>
  <c r="K11" i="2"/>
  <c r="K7" i="2"/>
  <c r="K16" i="2"/>
  <c r="K19" i="2"/>
  <c r="O45" i="2"/>
  <c r="P5" i="8" s="1"/>
  <c r="N45" i="2"/>
  <c r="N5" i="8" s="1"/>
  <c r="M45" i="2"/>
  <c r="L5" i="8" s="1"/>
  <c r="L45" i="2"/>
  <c r="J5" i="8" s="1"/>
  <c r="K45" i="2"/>
  <c r="H5" i="8" s="1"/>
  <c r="J45" i="2"/>
  <c r="F5" i="8" s="1"/>
  <c r="O44" i="2"/>
  <c r="P17" i="8" s="1"/>
  <c r="N44" i="2"/>
  <c r="N17" i="8" s="1"/>
  <c r="M44" i="2"/>
  <c r="L17" i="8" s="1"/>
  <c r="L44" i="2"/>
  <c r="J17" i="8" s="1"/>
  <c r="K44" i="2"/>
  <c r="H17" i="8" s="1"/>
  <c r="J44" i="2"/>
  <c r="F17" i="8" s="1"/>
  <c r="O43" i="2"/>
  <c r="P11" i="8" s="1"/>
  <c r="N43" i="2"/>
  <c r="N11" i="8" s="1"/>
  <c r="M43" i="2"/>
  <c r="L11" i="8" s="1"/>
  <c r="L43" i="2"/>
  <c r="J11" i="8" s="1"/>
  <c r="K43" i="2"/>
  <c r="H11" i="8" s="1"/>
  <c r="J43" i="2"/>
  <c r="F11" i="8" s="1"/>
  <c r="O42" i="2"/>
  <c r="P15" i="8" s="1"/>
  <c r="N42" i="2"/>
  <c r="N15" i="8" s="1"/>
  <c r="M42" i="2"/>
  <c r="L15" i="8" s="1"/>
  <c r="L42" i="2"/>
  <c r="J15" i="8" s="1"/>
  <c r="K42" i="2"/>
  <c r="H15" i="8" s="1"/>
  <c r="J42" i="2"/>
  <c r="F15" i="8" s="1"/>
  <c r="O41" i="2"/>
  <c r="N41" i="2"/>
  <c r="M41" i="2"/>
  <c r="L41" i="2"/>
  <c r="K41" i="2"/>
  <c r="J41" i="2"/>
  <c r="O40" i="2"/>
  <c r="P7" i="8" s="1"/>
  <c r="N40" i="2"/>
  <c r="N7" i="8" s="1"/>
  <c r="M40" i="2"/>
  <c r="L7" i="8" s="1"/>
  <c r="L40" i="2"/>
  <c r="J7" i="8" s="1"/>
  <c r="K40" i="2"/>
  <c r="H7" i="8" s="1"/>
  <c r="J40" i="2"/>
  <c r="F7" i="8" s="1"/>
  <c r="O39" i="2"/>
  <c r="P19" i="8" s="1"/>
  <c r="N39" i="2"/>
  <c r="N19" i="8" s="1"/>
  <c r="M39" i="2"/>
  <c r="L19" i="8" s="1"/>
  <c r="L39" i="2"/>
  <c r="J19" i="8" s="1"/>
  <c r="K39" i="2"/>
  <c r="J39" i="2"/>
  <c r="O38" i="2"/>
  <c r="P9" i="8" s="1"/>
  <c r="N38" i="2"/>
  <c r="N9" i="8" s="1"/>
  <c r="M38" i="2"/>
  <c r="L9" i="8" s="1"/>
  <c r="L38" i="2"/>
  <c r="J9" i="8" s="1"/>
  <c r="K38" i="2"/>
  <c r="H9" i="8" s="1"/>
  <c r="J38" i="2"/>
  <c r="F9" i="8" s="1"/>
  <c r="O37" i="2"/>
  <c r="P13" i="8" s="1"/>
  <c r="N37" i="2"/>
  <c r="N13" i="8" s="1"/>
  <c r="M37" i="2"/>
  <c r="L13" i="8" s="1"/>
  <c r="L37" i="2"/>
  <c r="J13" i="8" s="1"/>
  <c r="K37" i="2"/>
  <c r="H13" i="8" s="1"/>
  <c r="J37" i="2"/>
  <c r="F13" i="8" s="1"/>
  <c r="P21" i="8"/>
  <c r="O61" i="8"/>
  <c r="K61" i="8"/>
  <c r="B37" i="2"/>
  <c r="I61" i="8"/>
  <c r="M61" i="8"/>
  <c r="N21" i="8"/>
  <c r="L21" i="8"/>
  <c r="J21" i="8"/>
  <c r="H21" i="8"/>
  <c r="F21" i="8"/>
  <c r="H19" i="8" l="1"/>
  <c r="G61" i="8" s="1"/>
  <c r="F19" i="8"/>
  <c r="R12" i="8"/>
  <c r="R8" i="8"/>
  <c r="R16" i="8"/>
  <c r="R10" i="8"/>
  <c r="R20" i="8"/>
  <c r="R4" i="8"/>
  <c r="E61" i="8" l="1"/>
  <c r="R18" i="8"/>
  <c r="R6" i="8"/>
  <c r="R14" i="8"/>
  <c r="Q61" i="8"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<sst xmlns="http://schemas.openxmlformats.org/spreadsheetml/2006/main" count="112" uniqueCount="60">
  <si>
    <t>NACIONAL 2026</t>
  </si>
  <si>
    <t>Piso</t>
  </si>
  <si>
    <t>Arzon</t>
  </si>
  <si>
    <t>Anillos</t>
  </si>
  <si>
    <t>Salto</t>
  </si>
  <si>
    <t>Paralelas</t>
  </si>
  <si>
    <t>Barra Fija</t>
  </si>
  <si>
    <t>AA</t>
  </si>
  <si>
    <t>Porcentaje de efectividad</t>
  </si>
  <si>
    <t>LUGAR</t>
  </si>
  <si>
    <t>RUTINAS</t>
  </si>
  <si>
    <t>NOMBRE</t>
  </si>
  <si>
    <t>NIVEL</t>
  </si>
  <si>
    <t>Objetivo</t>
  </si>
  <si>
    <t>DIF</t>
  </si>
  <si>
    <t>NP</t>
  </si>
  <si>
    <t>NF</t>
  </si>
  <si>
    <t>TOTAL</t>
  </si>
  <si>
    <t>DED</t>
  </si>
  <si>
    <t>%</t>
  </si>
  <si>
    <t>YERIK</t>
  </si>
  <si>
    <t>LIBRES</t>
  </si>
  <si>
    <t>MIKEL</t>
  </si>
  <si>
    <t>RICHIE</t>
  </si>
  <si>
    <t>VELA</t>
  </si>
  <si>
    <t>DIEGO</t>
  </si>
  <si>
    <t>ISAAC</t>
  </si>
  <si>
    <t>FER</t>
  </si>
  <si>
    <t>ALONSO</t>
  </si>
  <si>
    <t>CHAMPI</t>
  </si>
  <si>
    <t>LEITO</t>
  </si>
  <si>
    <t>OBLIGATORIOS</t>
  </si>
  <si>
    <t>CHAVEZ</t>
  </si>
  <si>
    <t>NIQUITO</t>
  </si>
  <si>
    <t>SANTI POWER</t>
  </si>
  <si>
    <t>CHEMA</t>
  </si>
  <si>
    <t>ALFRED</t>
  </si>
  <si>
    <t>CHARLY</t>
  </si>
  <si>
    <t>NICO CAPI</t>
  </si>
  <si>
    <t>EMI</t>
  </si>
  <si>
    <t>CUEVAS</t>
  </si>
  <si>
    <t>MAURO</t>
  </si>
  <si>
    <t>BRUNITO</t>
  </si>
  <si>
    <t>DAVID</t>
  </si>
  <si>
    <t>BRITTAN</t>
  </si>
  <si>
    <t>SANTI LEE</t>
  </si>
  <si>
    <t>MAX</t>
  </si>
  <si>
    <t>MARIO</t>
  </si>
  <si>
    <t>PATO</t>
  </si>
  <si>
    <t>BRUNO BAEZ</t>
  </si>
  <si>
    <t>PORCENTUAL DE APARATO</t>
  </si>
  <si>
    <t>ATLETA</t>
  </si>
  <si>
    <t>EVENTO</t>
  </si>
  <si>
    <t>CAT</t>
  </si>
  <si>
    <t>A</t>
  </si>
  <si>
    <t>B</t>
  </si>
  <si>
    <t>C</t>
  </si>
  <si>
    <t>D</t>
  </si>
  <si>
    <t>NOTAS DE PARTIDA DESEADAS</t>
  </si>
  <si>
    <t>PORCENTAJE OBTENIDO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</si>
</sst>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font>
      <sz val="11"/>
      <color rgb="FF000000"/>
      <name val="Calibri"/>
      <scheme val="minor"/>
    </font>
    <font>
      <sz val="11"/>
      <name val="Calibri"/>
    </font>
    <font>
      <sz val="11"/>
      <name val="Arial"/>
    </font>
    <font>
      <sz val="16"/>
      <name val="Calibri"/>
    </font>
    <font>
      <sz val="12"/>
      <name val="Calibri"/>
    </font>
    <font>
      <sz val="9"/>
      <name val="Calibri"/>
    </font>
    <font>
      <sz val="10"/>
      <name val="Calibri"/>
    </font>
    <font>
      <sz val="8"/>
      <name val="Calibri"/>
    </font>
    <font>
      <sz val="18"/>
      <name val="Calibri"/>
    </font>
    <font>
      <sz val="11"/>
      <color rgb="FF000000"/>
      <name val="Arial"/>
    </font>
    <font>
      <sz val="11"/>
      <color rgb="FF00B050"/>
      <name val="Calibri"/>
    </font>
    <font>
      <sz val="14"/>
      <name val="Calibri"/>
    </font>
    <font>
      <sz val="12"/>
      <name val="Arial"/>
    </font>
    <font>
      <sz val="14"/>
      <name val="Arial"/>
    </font>
    <font>
      <sz val="10"/>
      <name val="Arial"/>
    </font>
    <font>
      <sz val="12"/>
      <color rgb="FF000000"/>
      <name val="Calibri"/>
      <scheme val="minor"/>
    </font>
    <font>
      <sz val="11"/>
      <name val="Calibri"/>
      <family val="2"/>
    </font>
  </fonts>
  <fills count="26">
    <fill>
      <patternFill patternType="none"/>
    </fill>
    <fill>
      <patternFill patternType="gray125"/>
    </fill>
    <fill>
      <patternFill patternType="solid">
        <fgColor rgb="FFB4C6E7"/>
        <bgColor rgb="FFB4C6E7"/>
      </patternFill>
    </fill>
    <fill>
      <patternFill patternType="solid">
        <fgColor rgb="FF8EAADB"/>
        <bgColor rgb="FF8EAADB"/>
      </patternFill>
    </fill>
    <fill>
      <patternFill patternType="solid">
        <fgColor rgb="FFA8D08D"/>
        <bgColor rgb="FFA8D08D"/>
      </patternFill>
    </fill>
    <fill>
      <patternFill patternType="solid">
        <fgColor rgb="FFBDD6EE"/>
        <bgColor rgb="FFBDD6EE"/>
      </patternFill>
    </fill>
    <fill>
      <patternFill patternType="solid">
        <fgColor rgb="FFD0CECE"/>
        <bgColor rgb="FFD0CECE"/>
      </patternFill>
    </fill>
    <fill>
      <patternFill patternType="solid">
        <fgColor rgb="FFD8D8D8"/>
        <bgColor rgb="FFD8D8D8"/>
      </patternFill>
    </fill>
    <fill>
      <patternFill patternType="solid">
        <fgColor rgb="FFF4B083"/>
        <bgColor rgb="FFF4B083"/>
      </patternFill>
    </fill>
    <fill>
      <patternFill patternType="solid">
        <fgColor rgb="FF00B050"/>
        <bgColor rgb="FF00B050"/>
      </patternFill>
    </fill>
    <fill>
      <patternFill patternType="solid">
        <fgColor rgb="FFC55A11"/>
        <bgColor rgb="FFC55A11"/>
      </patternFill>
    </fill>
    <fill>
      <patternFill patternType="solid">
        <fgColor rgb="FFAEABAB"/>
        <bgColor rgb="FFAEABAB"/>
      </patternFill>
    </fill>
    <fill>
      <patternFill patternType="solid">
        <fgColor rgb="FF2E75B5"/>
        <bgColor rgb="FF2E75B5"/>
      </patternFill>
    </fill>
    <fill>
      <patternFill patternType="solid">
        <fgColor rgb="FF548135"/>
        <bgColor rgb="FF548135"/>
      </patternFill>
    </fill>
    <fill>
      <patternFill patternType="solid">
        <fgColor rgb="FFFFFF00"/>
        <bgColor rgb="FFFFFF00"/>
      </patternFill>
    </fill>
    <fill>
      <patternFill patternType="solid">
        <fgColor rgb="FF0FA907"/>
        <bgColor rgb="FF0FA907"/>
      </patternFill>
    </fill>
    <fill>
      <patternFill patternType="solid">
        <fgColor theme="1"/>
        <bgColor indexed="64"/>
      </patternFill>
    </fill>
    <fill>
      <patternFill patternType="solid">
        <fgColor theme="5" tint="0.59999389629810485"/>
        <bgColor indexed="64"/>
      </patternFill>
    </fill>
    <fill>
      <patternFill patternType="solid">
        <fgColor theme="7" tint="-0.249977111117893"/>
        <bgColor indexed="64"/>
      </patternFill>
    </fill>
    <fill>
      <patternFill patternType="solid">
        <fgColor theme="5" tint="-0.499984740745262"/>
        <bgColor indexed="64"/>
      </patternFill>
    </fill>
    <fill>
      <patternFill patternType="solid">
        <fgColor theme="0" tint="-0.34998626667073579"/>
        <bgColor indexed="64"/>
      </patternFill>
    </fill>
    <fill>
      <patternFill patternType="solid">
        <fgColor theme="8" tint="0.39997558519241921"/>
        <bgColor indexed="64"/>
      </patternFill>
    </fill>
    <fill>
      <patternFill patternType="solid">
        <fgColor theme="7" tint="0.39997558519241921"/>
        <bgColor indexed="64"/>
      </patternFill>
    </fill>
    <fill>
      <patternFill patternType="solid">
        <fgColor rgb="FFFFFF00"/>
        <bgColor indexed="64"/>
      </patternFill>
    </fill>
    <fill>
      <patternFill patternType="solid">
        <fgColor theme="5" tint="-0.249977111117893"/>
        <bgColor indexed="64"/>
      </patternFill>
    </fill>
    <fill>
      <patternFill patternType="solid">
        <fgColor theme="2" tint="-9.9978637043366805E-2"/>
        <bgColor indexed="64"/>
      </patternFill>
    </fill>
  </fills>
  <borders count="23">
    <border>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medium">
        <color rgb="FF000000"/>
      </left>
      <right/>
      <top/>
      <bottom/>
      <diagonal/>
    </border>
    <border>
      <left style="medium">
        <color rgb="FF000000"/>
      </left>
      <right style="medium">
        <color rgb="FF000000"/>
      </right>
      <top/>
      <bottom/>
      <diagonal/>
    </border>
    <border>
      <left style="medium">
        <color rgb="FF000000"/>
      </left>
      <right style="thin">
        <color rgb="FF505050"/>
      </right>
      <top style="thin">
        <color rgb="FF505050"/>
      </top>
      <bottom/>
      <diagonal/>
    </border>
    <border>
      <left style="thin">
        <color rgb="FF505050"/>
      </left>
      <right style="medium">
        <color rgb="FF000000"/>
      </right>
      <top style="thin">
        <color rgb="FF505050"/>
      </top>
      <bottom/>
      <diagonal/>
    </border>
    <border>
      <left/>
      <right style="thin">
        <color rgb="FF505050"/>
      </right>
      <top style="thin">
        <color rgb="FF505050"/>
      </top>
      <bottom/>
      <diagonal/>
    </border>
    <border>
      <left style="thin">
        <color rgb="FF505050"/>
      </left>
      <right/>
      <top style="thin">
        <color rgb="FF50505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bottom style="thin">
        <color rgb="FF000000"/>
      </bottom>
      <diagonal/>
    </border>
    <border>
      <left style="thin">
        <color rgb="FF000000"/>
      </left>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right/>
      <top/>
      <bottom/>
      <diagonal/>
    </border>
    <border>
      <left/>
      <right/>
      <top style="thin">
        <color rgb="FF000000"/>
      </top>
      <bottom/>
      <diagonal/>
    </border>
    <border>
      <left style="thin">
        <color rgb="FF000000"/>
      </left>
      <right/>
      <top/>
      <bottom/>
      <diagonal/>
    </border>
  </borders>
  <cellStyleXfs count="1">
    <xf numFmtId="0" fontId="0" fillId="0" borderId="0"/>
  </cellStyleXfs>
  <cellXfs count="101">
    <xf numFmtId="0" fontId="0" fillId="0" borderId="0" xfId="0"/>
    <xf numFmtId="0" fontId="4" fillId="0" borderId="1" xfId="0" applyFont="1" applyBorder="1" applyAlignment="1">
      <alignment horizontal="center" vertical="center" wrapText="1"/>
    </xf>
    <xf numFmtId="0" fontId="1" fillId="3" borderId="4" xfId="0" applyFont="1" applyFill="1" applyBorder="1" applyAlignment="1">
      <alignment horizontal="center" vertical="center"/>
    </xf>
    <xf numFmtId="0" fontId="1" fillId="3" borderId="5" xfId="0" applyFont="1" applyFill="1" applyBorder="1" applyAlignment="1">
      <alignment horizontal="center" vertical="center"/>
    </xf>
    <xf numFmtId="0" fontId="1" fillId="3" borderId="8" xfId="0" applyFont="1" applyFill="1" applyBorder="1" applyAlignment="1">
      <alignment horizontal="center" vertical="center"/>
    </xf>
    <xf numFmtId="164" fontId="1" fillId="3" borderId="9" xfId="0" applyNumberFormat="1" applyFont="1" applyFill="1" applyBorder="1" applyAlignment="1">
      <alignment horizontal="center" vertical="center"/>
    </xf>
    <xf numFmtId="0" fontId="1" fillId="3" borderId="10" xfId="0" applyFont="1" applyFill="1" applyBorder="1" applyAlignment="1">
      <alignment horizontal="center" vertical="center"/>
    </xf>
    <xf numFmtId="164" fontId="1" fillId="3" borderId="11" xfId="0" applyNumberFormat="1" applyFont="1" applyFill="1" applyBorder="1" applyAlignment="1">
      <alignment horizontal="center" vertical="center"/>
    </xf>
    <xf numFmtId="0" fontId="1" fillId="0" borderId="13" xfId="0" applyFont="1" applyBorder="1" applyAlignment="1">
      <alignment horizontal="center" vertical="center"/>
    </xf>
    <xf numFmtId="0" fontId="1" fillId="6" borderId="13" xfId="0" applyFont="1" applyFill="1" applyBorder="1" applyAlignment="1">
      <alignment horizontal="center" vertical="center"/>
    </xf>
    <xf numFmtId="0" fontId="1" fillId="7" borderId="13" xfId="0" applyFont="1" applyFill="1" applyBorder="1" applyAlignment="1">
      <alignment horizontal="center" vertical="center"/>
    </xf>
    <xf numFmtId="0" fontId="10" fillId="0" borderId="13" xfId="0" applyFont="1" applyBorder="1" applyAlignment="1">
      <alignment horizontal="center" vertical="center"/>
    </xf>
    <xf numFmtId="164" fontId="1" fillId="9" borderId="13" xfId="0" applyNumberFormat="1" applyFont="1" applyFill="1" applyBorder="1" applyAlignment="1">
      <alignment horizontal="center" vertical="center"/>
    </xf>
    <xf numFmtId="164" fontId="1" fillId="9" borderId="13" xfId="0" applyNumberFormat="1" applyFont="1" applyFill="1" applyBorder="1" applyAlignment="1">
      <alignment horizontal="center" vertical="center" wrapText="1"/>
    </xf>
    <xf numFmtId="0" fontId="1" fillId="14" borderId="19" xfId="0" applyFont="1" applyFill="1" applyBorder="1" applyAlignment="1">
      <alignment horizontal="left" vertical="center"/>
    </xf>
    <xf numFmtId="0" fontId="1" fillId="14" borderId="19" xfId="0" applyFont="1" applyFill="1" applyBorder="1" applyAlignment="1">
      <alignment horizontal="center" vertical="center"/>
    </xf>
    <xf numFmtId="0" fontId="1" fillId="0" borderId="0" xfId="0" applyFont="1" applyAlignment="1">
      <alignment horizontal="left" vertical="center"/>
    </xf>
    <xf numFmtId="0" fontId="1" fillId="8" borderId="20" xfId="0" applyFont="1" applyFill="1" applyBorder="1" applyAlignment="1">
      <alignment horizontal="left" vertical="center"/>
    </xf>
    <xf numFmtId="0" fontId="1" fillId="0" borderId="0" xfId="0" applyFont="1" applyAlignment="1">
      <alignment horizontal="center" vertical="center"/>
    </xf>
    <xf numFmtId="0" fontId="1" fillId="15" borderId="20" xfId="0" applyFont="1" applyFill="1" applyBorder="1" applyAlignment="1">
      <alignment horizontal="center" vertical="center"/>
    </xf>
    <xf numFmtId="0" fontId="1" fillId="10" borderId="20" xfId="0" applyFont="1" applyFill="1" applyBorder="1" applyAlignment="1">
      <alignment horizontal="center" vertical="center"/>
    </xf>
    <xf numFmtId="0" fontId="1" fillId="3" borderId="18" xfId="0" applyFont="1" applyFill="1" applyBorder="1" applyAlignment="1">
      <alignment horizontal="center" vertical="center"/>
    </xf>
    <xf numFmtId="0" fontId="1" fillId="3" borderId="15" xfId="0" applyFont="1" applyFill="1" applyBorder="1" applyAlignment="1">
      <alignment horizontal="center" vertical="center"/>
    </xf>
    <xf numFmtId="0" fontId="1" fillId="14" borderId="19" xfId="0" applyFont="1" applyFill="1" applyBorder="1" applyAlignment="1">
      <alignment horizontal="right" vertical="center"/>
    </xf>
    <xf numFmtId="0" fontId="11" fillId="14" borderId="19" xfId="0" applyFont="1" applyFill="1" applyBorder="1" applyAlignment="1">
      <alignment horizontal="right" vertical="center" wrapText="1"/>
    </xf>
    <xf numFmtId="0" fontId="1" fillId="0" borderId="0" xfId="0" applyFont="1" applyAlignment="1">
      <alignment horizontal="right" vertical="center"/>
    </xf>
    <xf numFmtId="0" fontId="0" fillId="0" borderId="0" xfId="0" applyAlignment="1">
      <alignment horizontal="right"/>
    </xf>
    <xf numFmtId="0" fontId="1" fillId="0" borderId="0" xfId="0" applyFont="1" applyAlignment="1">
      <alignment horizontal="right" vertical="center" wrapText="1"/>
    </xf>
    <xf numFmtId="0" fontId="1" fillId="21" borderId="20" xfId="0" applyFont="1" applyFill="1" applyBorder="1" applyAlignment="1">
      <alignment horizontal="center" vertical="center"/>
    </xf>
    <xf numFmtId="0" fontId="1" fillId="22" borderId="20" xfId="0" applyFont="1" applyFill="1" applyBorder="1" applyAlignment="1">
      <alignment horizontal="center" vertical="center"/>
    </xf>
    <xf numFmtId="1" fontId="1" fillId="0" borderId="0" xfId="0" applyNumberFormat="1" applyFont="1" applyAlignment="1">
      <alignment horizontal="right" vertical="center"/>
    </xf>
    <xf numFmtId="0" fontId="0" fillId="0" borderId="20" xfId="0" applyBorder="1"/>
    <xf numFmtId="0" fontId="9" fillId="0" borderId="20" xfId="0" applyFont="1" applyBorder="1"/>
    <xf numFmtId="0" fontId="15" fillId="25" borderId="14" xfId="0" applyFont="1" applyFill="1" applyBorder="1" applyAlignment="1">
      <alignment vertical="center" textRotation="255"/>
    </xf>
    <xf numFmtId="0" fontId="16" fillId="0" borderId="0" xfId="0" applyFont="1" applyAlignment="1">
      <alignment horizontal="right" vertical="center"/>
    </xf>
    <xf numFmtId="0" fontId="16" fillId="0" borderId="0" xfId="0" applyFont="1" applyAlignment="1">
      <alignment horizontal="center" vertical="center"/>
    </xf>
    <xf numFmtId="0" fontId="1" fillId="23" borderId="0" xfId="0" applyFont="1" applyFill="1" applyAlignment="1">
      <alignment horizontal="center" vertical="center"/>
    </xf>
    <xf numFmtId="0" fontId="1" fillId="24" borderId="0" xfId="0" applyFont="1" applyFill="1" applyAlignment="1">
      <alignment horizontal="center" vertical="center"/>
    </xf>
    <xf numFmtId="0" fontId="3" fillId="4" borderId="19" xfId="0" applyFont="1" applyFill="1" applyBorder="1" applyAlignment="1">
      <alignment horizontal="center" vertical="center"/>
    </xf>
    <xf numFmtId="0" fontId="8" fillId="8" borderId="19" xfId="0" applyFont="1" applyFill="1" applyBorder="1" applyAlignment="1">
      <alignment horizontal="center" vertical="center"/>
    </xf>
    <xf numFmtId="0" fontId="1" fillId="0" borderId="19" xfId="0" applyFont="1" applyBorder="1" applyAlignment="1">
      <alignment horizontal="center" vertical="center"/>
    </xf>
    <xf numFmtId="164" fontId="1" fillId="0" borderId="19" xfId="0" applyNumberFormat="1" applyFont="1" applyBorder="1" applyAlignment="1">
      <alignment horizontal="center" vertical="center"/>
    </xf>
    <xf numFmtId="0" fontId="4" fillId="0" borderId="19" xfId="0" applyFont="1" applyBorder="1" applyAlignment="1">
      <alignment horizontal="center" vertical="center"/>
    </xf>
    <xf numFmtId="1" fontId="1" fillId="0" borderId="16" xfId="0" applyNumberFormat="1" applyFont="1" applyBorder="1" applyAlignment="1">
      <alignment horizontal="center" vertical="center"/>
    </xf>
    <xf numFmtId="0" fontId="8" fillId="5" borderId="19" xfId="0" applyFont="1" applyFill="1" applyBorder="1" applyAlignment="1">
      <alignment horizontal="center" vertical="center"/>
    </xf>
    <xf numFmtId="10" fontId="1" fillId="0" borderId="19" xfId="0" applyNumberFormat="1" applyFont="1" applyBorder="1" applyAlignment="1">
      <alignment horizontal="center" vertical="center"/>
    </xf>
    <xf numFmtId="0" fontId="6" fillId="3" borderId="19" xfId="0" applyFont="1" applyFill="1" applyBorder="1" applyAlignment="1">
      <alignment horizontal="center" vertical="center" textRotation="90"/>
    </xf>
    <xf numFmtId="0" fontId="4" fillId="0" borderId="1" xfId="0" applyFont="1" applyBorder="1" applyAlignment="1">
      <alignment horizontal="center" vertical="center"/>
    </xf>
    <xf numFmtId="0" fontId="5" fillId="3" borderId="19" xfId="0" applyFont="1" applyFill="1" applyBorder="1" applyAlignment="1">
      <alignment horizontal="center" vertical="center" textRotation="45" wrapText="1"/>
    </xf>
    <xf numFmtId="0" fontId="5" fillId="3" borderId="19"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7" fillId="3" borderId="7" xfId="0" applyFont="1" applyFill="1" applyBorder="1" applyAlignment="1">
      <alignment horizontal="center" vertical="center" textRotation="45"/>
    </xf>
    <xf numFmtId="0" fontId="1" fillId="3" borderId="7" xfId="0" applyFont="1" applyFill="1" applyBorder="1" applyAlignment="1">
      <alignment horizontal="center" vertical="center"/>
    </xf>
    <xf numFmtId="0" fontId="1" fillId="3" borderId="6" xfId="0" applyFont="1" applyFill="1" applyBorder="1" applyAlignment="1">
      <alignment horizontal="center" vertical="center"/>
    </xf>
    <xf numFmtId="0" fontId="6" fillId="3" borderId="7" xfId="0" applyFont="1" applyFill="1" applyBorder="1" applyAlignment="1">
      <alignment horizontal="center" vertical="center"/>
    </xf>
    <xf numFmtId="0" fontId="4" fillId="3" borderId="6" xfId="0" applyFont="1" applyFill="1" applyBorder="1" applyAlignment="1">
      <alignment horizontal="center" vertical="center"/>
    </xf>
    <xf numFmtId="0" fontId="3" fillId="10" borderId="19" xfId="0" applyFont="1" applyFill="1" applyBorder="1" applyAlignment="1">
      <alignment horizontal="center" vertical="center"/>
    </xf>
    <xf numFmtId="0" fontId="8" fillId="4" borderId="19" xfId="0" applyFont="1" applyFill="1" applyBorder="1" applyAlignment="1">
      <alignment horizontal="center" vertical="center"/>
    </xf>
    <xf numFmtId="0" fontId="8" fillId="6" borderId="19" xfId="0" applyFont="1" applyFill="1" applyBorder="1" applyAlignment="1">
      <alignment horizontal="center" vertical="center"/>
    </xf>
    <xf numFmtId="0" fontId="4" fillId="20" borderId="14" xfId="0" applyFont="1" applyFill="1" applyBorder="1" applyAlignment="1">
      <alignment horizontal="center" vertical="center" textRotation="255" wrapText="1"/>
    </xf>
    <xf numFmtId="0" fontId="1" fillId="16" borderId="21" xfId="0" applyFont="1" applyFill="1" applyBorder="1" applyAlignment="1">
      <alignment horizontal="center"/>
    </xf>
    <xf numFmtId="0" fontId="1" fillId="16" borderId="20" xfId="0" applyFont="1" applyFill="1" applyBorder="1" applyAlignment="1">
      <alignment horizontal="center"/>
    </xf>
    <xf numFmtId="0" fontId="3" fillId="18" borderId="19" xfId="0" applyFont="1" applyFill="1" applyBorder="1" applyAlignment="1">
      <alignment horizontal="center" vertical="center"/>
    </xf>
    <xf numFmtId="0" fontId="8" fillId="12" borderId="19" xfId="0" applyFont="1" applyFill="1" applyBorder="1" applyAlignment="1">
      <alignment horizontal="center" vertical="center"/>
    </xf>
    <xf numFmtId="0" fontId="11" fillId="18" borderId="19" xfId="0" applyFont="1" applyFill="1" applyBorder="1" applyAlignment="1">
      <alignment horizontal="center" vertical="center"/>
    </xf>
    <xf numFmtId="0" fontId="3" fillId="17" borderId="19" xfId="0" applyFont="1" applyFill="1" applyBorder="1" applyAlignment="1">
      <alignment horizontal="center" vertical="center"/>
    </xf>
    <xf numFmtId="0" fontId="3" fillId="11" borderId="19" xfId="0" applyFont="1" applyFill="1" applyBorder="1" applyAlignment="1">
      <alignment horizontal="center" vertical="center"/>
    </xf>
    <xf numFmtId="0" fontId="8" fillId="13" borderId="19" xfId="0" applyFont="1" applyFill="1" applyBorder="1" applyAlignment="1">
      <alignment horizontal="center" vertical="center"/>
    </xf>
    <xf numFmtId="0" fontId="3" fillId="18" borderId="19" xfId="0" applyFont="1" applyFill="1" applyBorder="1" applyAlignment="1">
      <alignment horizontal="center" vertical="center" wrapText="1"/>
    </xf>
    <xf numFmtId="1" fontId="1" fillId="0" borderId="13" xfId="0" applyNumberFormat="1" applyFont="1" applyBorder="1" applyAlignment="1">
      <alignment horizontal="center" vertical="center"/>
    </xf>
    <xf numFmtId="0" fontId="8" fillId="19" borderId="19" xfId="0" applyFont="1" applyFill="1" applyBorder="1" applyAlignment="1">
      <alignment horizontal="center" vertical="center"/>
    </xf>
    <xf numFmtId="10" fontId="1" fillId="0" borderId="16" xfId="0" applyNumberFormat="1" applyFont="1" applyBorder="1" applyAlignment="1">
      <alignment horizontal="center" vertical="center"/>
    </xf>
    <xf numFmtId="0" fontId="4" fillId="0" borderId="15" xfId="0" applyFont="1" applyBorder="1" applyAlignment="1">
      <alignment horizontal="center" vertical="center"/>
    </xf>
    <xf numFmtId="164" fontId="1" fillId="0" borderId="17" xfId="0" applyNumberFormat="1" applyFont="1" applyBorder="1" applyAlignment="1">
      <alignment horizontal="center" vertical="center"/>
    </xf>
    <xf numFmtId="10" fontId="1" fillId="0" borderId="17" xfId="0" applyNumberFormat="1" applyFont="1" applyBorder="1" applyAlignment="1">
      <alignment horizontal="center" vertical="center"/>
    </xf>
    <xf numFmtId="0" fontId="3" fillId="4" borderId="12" xfId="0" applyFont="1" applyFill="1" applyBorder="1" applyAlignment="1">
      <alignment horizontal="center" vertical="center"/>
    </xf>
    <xf numFmtId="0" fontId="8" fillId="6" borderId="12" xfId="0" applyFont="1" applyFill="1" applyBorder="1" applyAlignment="1">
      <alignment horizontal="center" vertical="center"/>
    </xf>
    <xf numFmtId="0" fontId="1" fillId="0" borderId="12" xfId="0" applyFont="1" applyBorder="1" applyAlignment="1">
      <alignment horizontal="center" vertical="center"/>
    </xf>
    <xf numFmtId="164" fontId="1" fillId="0" borderId="12" xfId="0" applyNumberFormat="1" applyFont="1" applyBorder="1" applyAlignment="1">
      <alignment horizontal="center" vertical="center"/>
    </xf>
    <xf numFmtId="0" fontId="4" fillId="0" borderId="12" xfId="0" applyFont="1" applyBorder="1" applyAlignment="1">
      <alignment horizontal="center" vertical="center"/>
    </xf>
    <xf numFmtId="10" fontId="1" fillId="0" borderId="12" xfId="0" applyNumberFormat="1" applyFont="1" applyBorder="1" applyAlignment="1">
      <alignment horizontal="center" vertical="center"/>
    </xf>
    <xf numFmtId="0" fontId="4" fillId="20" borderId="20" xfId="0" applyFont="1" applyFill="1" applyBorder="1" applyAlignment="1">
      <alignment horizontal="center" vertical="center" textRotation="255" wrapText="1"/>
    </xf>
    <xf numFmtId="0" fontId="15" fillId="25" borderId="13" xfId="0" applyFont="1" applyFill="1" applyBorder="1" applyAlignment="1">
      <alignment horizontal="center" vertical="center" textRotation="255"/>
    </xf>
    <xf numFmtId="0" fontId="2" fillId="0" borderId="2" xfId="0" applyFont="1" applyBorder="1" applyAlignment="1"/>
    <xf numFmtId="0" fontId="12" fillId="0" borderId="3" xfId="0" applyFont="1" applyBorder="1" applyAlignment="1"/>
    <xf numFmtId="0" fontId="2" fillId="0" borderId="14" xfId="0" applyFont="1" applyBorder="1" applyAlignment="1"/>
    <xf numFmtId="0" fontId="14" fillId="0" borderId="14" xfId="0" applyFont="1" applyBorder="1" applyAlignment="1"/>
    <xf numFmtId="0" fontId="2" fillId="0" borderId="6" xfId="0" applyFont="1" applyBorder="1" applyAlignment="1"/>
    <xf numFmtId="0" fontId="2" fillId="0" borderId="7" xfId="0" applyFont="1" applyBorder="1" applyAlignment="1"/>
    <xf numFmtId="0" fontId="2" fillId="0" borderId="12" xfId="0" applyFont="1" applyBorder="1" applyAlignment="1"/>
    <xf numFmtId="0" fontId="2" fillId="0" borderId="15" xfId="0" applyFont="1" applyBorder="1" applyAlignment="1"/>
    <xf numFmtId="0" fontId="2" fillId="18" borderId="12" xfId="0" applyFont="1" applyFill="1" applyBorder="1" applyAlignment="1"/>
    <xf numFmtId="0" fontId="2" fillId="17" borderId="12" xfId="0" applyFont="1" applyFill="1" applyBorder="1" applyAlignment="1"/>
    <xf numFmtId="0" fontId="13" fillId="18" borderId="12" xfId="0" applyFont="1" applyFill="1" applyBorder="1" applyAlignment="1"/>
    <xf numFmtId="0" fontId="2" fillId="0" borderId="22" xfId="0" applyFont="1" applyBorder="1" applyAlignment="1"/>
    <xf numFmtId="0" fontId="2" fillId="19" borderId="12" xfId="0" applyFont="1" applyFill="1" applyBorder="1" applyAlignment="1"/>
    <xf numFmtId="0" fontId="2" fillId="0" borderId="13" xfId="0" applyFont="1" applyBorder="1" applyAlignment="1"/>
    <xf numFmtId="0" fontId="12" fillId="0" borderId="17" xfId="0" applyFont="1" applyBorder="1" applyAlignment="1"/>
    <xf numFmtId="0" fontId="12" fillId="0" borderId="18" xfId="0" applyFont="1" applyBorder="1" applyAlignment="1"/>
    <xf numFmtId="0" fontId="2" fillId="0" borderId="18" xfId="0" applyFont="1" applyBorder="1" applyAlignment="1"/>
    <xf numFmtId="10" fontId="2" fillId="0" borderId="18" xfId="0" applyNumberFormat="1" applyFont="1" applyBorder="1" applyAlignment="1"/>
  </cellXfs>
  <cellStyles count="1">
    <cellStyle name="Normal" xfId="0" builtinId="0"/>
  </cellStyles>
  <dxfs count="967">
    <dxf>
      <fill>
        <patternFill patternType="solid">
          <bgColor rgb="FF00B050"/>
        </patternFill>
      </fill>
    </dxf>
    <dxf>
      <fill>
        <patternFill patternType="solid">
          <bgColor rgb="FFFFFF00"/>
        </patternFill>
      </fill>
    </dxf>
    <dxf>
      <fill>
        <patternFill patternType="solid">
          <bgColor rgb="FFFF0000"/>
        </patternFill>
      </fill>
    </dxf>
    <dxf>
      <fill>
        <patternFill patternType="solid">
          <bgColor rgb="FF00B050"/>
        </patternFill>
      </fill>
    </dxf>
    <dxf>
      <fill>
        <patternFill patternType="solid">
          <bgColor rgb="FFFFFF00"/>
        </patternFill>
      </fill>
    </dxf>
    <dxf>
      <fill>
        <patternFill patternType="solid">
          <bgColor rgb="FFFF0000"/>
        </patternFill>
      </fill>
    </dxf>
    <dxf>
      <font>
        <color theme="5" tint="-0.249977111117893"/>
      </font>
      <fill>
        <patternFill patternType="solid">
          <bgColor theme="0"/>
        </patternFill>
      </fill>
    </dxf>
    <dxf>
      <font>
        <color rgb="FFFF0000"/>
      </font>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none"/>
      </fill>
    </dxf>
    <dxf>
      <font>
        <color rgb="FF4A86E8"/>
      </font>
      <fill>
        <patternFill patternType="none"/>
      </fill>
    </dxf>
    <dxf>
      <font>
        <color rgb="FFFF0000"/>
      </font>
      <fill>
        <patternFill patternType="none"/>
      </fill>
    </dxf>
    <dxf>
      <font>
        <color rgb="FF00B050"/>
      </font>
      <fill>
        <patternFill patternType="none"/>
      </fill>
    </dxf>
    <dxf>
      <font>
        <color rgb="FF006100"/>
      </font>
      <fill>
        <patternFill patternType="solid">
          <fgColor rgb="FFC6EFCE"/>
          <bgColor rgb="FFC6EFCE"/>
        </patternFill>
      </fill>
    </dxf>
    <dxf>
      <font>
        <color rgb="FF9C5700"/>
      </font>
      <fill>
        <patternFill patternType="solid">
          <fgColor rgb="FFFFEB9C"/>
          <bgColor rgb="FFFFEB9C"/>
        </patternFill>
      </fill>
    </dxf>
    <dxf>
      <font>
        <color rgb="FF9C0006"/>
      </font>
      <fill>
        <patternFill patternType="solid">
          <fgColor rgb="FFFFC7CE"/>
          <bgColor rgb="FFFFC7CE"/>
        </patternFill>
      </fill>
    </dxf>
    <dxf>
      <font>
        <color theme="5" tint="-0.249977111117893"/>
      </font>
      <fill>
        <patternFill patternType="solid">
          <bgColor theme="0"/>
        </patternFill>
      </fill>
    </dxf>
    <dxf>
      <font>
        <color rgb="FFFF0000"/>
      </font>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none"/>
      </fill>
    </dxf>
    <dxf>
      <font>
        <color rgb="FF4A86E8"/>
      </font>
      <fill>
        <patternFill patternType="none"/>
      </fill>
    </dxf>
    <dxf>
      <font>
        <color rgb="FFFF0000"/>
      </font>
      <fill>
        <patternFill patternType="none"/>
      </fill>
    </dxf>
    <dxf>
      <font>
        <color rgb="FF00B050"/>
      </font>
      <fill>
        <patternFill patternType="none"/>
      </fill>
    </dxf>
    <dxf>
      <font>
        <color rgb="FF006100"/>
      </font>
      <fill>
        <patternFill patternType="solid">
          <fgColor rgb="FFC6EFCE"/>
          <bgColor rgb="FFC6EFCE"/>
        </patternFill>
      </fill>
    </dxf>
    <dxf>
      <font>
        <color rgb="FF9C5700"/>
      </font>
      <fill>
        <patternFill patternType="solid">
          <fgColor rgb="FFFFEB9C"/>
          <bgColor rgb="FFFFEB9C"/>
        </patternFill>
      </fill>
    </dxf>
    <dxf>
      <font>
        <color rgb="FF9C0006"/>
      </font>
      <fill>
        <patternFill patternType="solid">
          <fgColor rgb="FFFFC7CE"/>
          <bgColor rgb="FFFFC7CE"/>
        </patternFill>
      </fill>
    </dxf>
    <dxf>
      <font>
        <color theme="5" tint="-0.249977111117893"/>
      </font>
      <fill>
        <patternFill patternType="solid">
          <bgColor theme="0"/>
        </patternFill>
      </fill>
    </dxf>
    <dxf>
      <fill>
        <patternFill patternType="solid">
          <fgColor rgb="FFBF9000"/>
          <bgColor rgb="FFBF9000"/>
        </patternFill>
      </fill>
    </dxf>
    <dxf>
      <fill>
        <patternFill patternType="solid">
          <fgColor rgb="FFC8C8C8"/>
          <bgColor rgb="FFC8C8C8"/>
        </patternFill>
      </fill>
    </dxf>
    <dxf>
      <fill>
        <patternFill patternType="solid">
          <fgColor rgb="FFBD0000"/>
          <bgColor rgb="FFBD0000"/>
        </patternFill>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none"/>
      </fill>
    </dxf>
    <dxf>
      <font>
        <color rgb="FFFF0000"/>
      </font>
      <fill>
        <patternFill patternType="solid">
          <bgColor theme="0"/>
        </patternFill>
      </fill>
    </dxf>
    <dxf>
      <font>
        <color rgb="FF00B0F0"/>
      </font>
      <fill>
        <patternFill patternType="solid">
          <bgColor theme="0"/>
        </patternFill>
      </fill>
    </dxf>
    <dxf>
      <font>
        <color rgb="FF00B050"/>
      </font>
      <fill>
        <patternFill patternType="solid">
          <bgColor theme="0"/>
        </patternFill>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none"/>
      </fill>
    </dxf>
    <dxf>
      <font>
        <color rgb="FFFF0000"/>
      </font>
      <fill>
        <patternFill patternType="solid">
          <bgColor theme="0"/>
        </patternFill>
      </fill>
    </dxf>
    <dxf>
      <font>
        <color rgb="FF00B0F0"/>
      </font>
      <fill>
        <patternFill patternType="solid">
          <bgColor theme="0"/>
        </patternFill>
      </fill>
    </dxf>
    <dxf>
      <font>
        <color rgb="FF00B050"/>
      </font>
      <fill>
        <patternFill patternType="solid">
          <bgColor theme="0"/>
        </patternFill>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none"/>
      </fill>
    </dxf>
    <dxf>
      <font>
        <color rgb="FFFF0000"/>
      </font>
      <fill>
        <patternFill patternType="solid">
          <bgColor theme="0"/>
        </patternFill>
      </fill>
    </dxf>
    <dxf>
      <font>
        <color rgb="FF00B0F0"/>
      </font>
      <fill>
        <patternFill patternType="solid">
          <bgColor theme="0"/>
        </patternFill>
      </fill>
    </dxf>
    <dxf>
      <font>
        <color rgb="FF00B050"/>
      </font>
      <fill>
        <patternFill patternType="solid">
          <bgColor theme="0"/>
        </patternFill>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none"/>
      </fill>
    </dxf>
    <dxf>
      <font>
        <color rgb="FFFF0000"/>
      </font>
      <fill>
        <patternFill patternType="solid">
          <bgColor theme="0"/>
        </patternFill>
      </fill>
    </dxf>
    <dxf>
      <font>
        <color rgb="FF00B0F0"/>
      </font>
      <fill>
        <patternFill patternType="solid">
          <bgColor theme="0"/>
        </patternFill>
      </fill>
    </dxf>
    <dxf>
      <font>
        <color rgb="FF00B050"/>
      </font>
      <fill>
        <patternFill patternType="solid">
          <bgColor theme="0"/>
        </patternFill>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ont>
        <color rgb="FFFF0000"/>
      </font>
      <fill>
        <patternFill patternType="solid">
          <bgColor theme="0"/>
        </patternFill>
      </fill>
    </dxf>
    <dxf>
      <font>
        <color rgb="FF00B0F0"/>
      </font>
      <fill>
        <patternFill patternType="solid">
          <bgColor theme="0"/>
        </patternFill>
      </fill>
    </dxf>
    <dxf>
      <font>
        <color rgb="FF00B050"/>
      </font>
      <fill>
        <patternFill patternType="solid">
          <bgColor theme="0"/>
        </patternFill>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ont>
        <color rgb="FFFF0000"/>
      </font>
      <fill>
        <patternFill patternType="solid">
          <bgColor theme="0"/>
        </patternFill>
      </fill>
    </dxf>
    <dxf>
      <font>
        <color rgb="FF00B0F0"/>
      </font>
      <fill>
        <patternFill patternType="solid">
          <bgColor theme="0"/>
        </patternFill>
      </fill>
    </dxf>
    <dxf>
      <font>
        <color rgb="FF00B050"/>
      </font>
      <fill>
        <patternFill patternType="solid">
          <bgColor theme="0"/>
        </patternFill>
      </fill>
    </dxf>
    <dxf>
      <font>
        <color rgb="FFFF0000"/>
      </font>
    </dxf>
    <dxf>
      <fill>
        <patternFill patternType="solid">
          <fgColor rgb="FFBF9000"/>
          <bgColor rgb="FFBF9000"/>
        </patternFill>
      </fill>
    </dxf>
    <dxf>
      <fill>
        <patternFill patternType="solid">
          <fgColor rgb="FFC8C8C8"/>
          <bgColor rgb="FFC8C8C8"/>
        </patternFill>
      </fill>
    </dxf>
    <dxf>
      <fill>
        <patternFill patternType="solid">
          <fgColor rgb="FFBD0000"/>
          <bgColor rgb="FFBD0000"/>
        </patternFill>
      </fill>
    </dxf>
    <dxf>
      <fill>
        <patternFill patternType="solid">
          <fgColor rgb="FFBF9000"/>
          <bgColor rgb="FFBF9000"/>
        </patternFill>
      </fill>
    </dxf>
    <dxf>
      <fill>
        <patternFill patternType="solid">
          <fgColor rgb="FFC8C8C8"/>
          <bgColor rgb="FFC8C8C8"/>
        </patternFill>
      </fill>
    </dxf>
    <dxf>
      <fill>
        <patternFill patternType="solid">
          <fgColor rgb="FFBD0000"/>
          <bgColor rgb="FFBD0000"/>
        </patternFill>
      </fill>
    </dxf>
    <dxf>
      <fill>
        <patternFill patternType="solid">
          <fgColor rgb="FFBF9000"/>
          <bgColor rgb="FFBF9000"/>
        </patternFill>
      </fill>
    </dxf>
    <dxf>
      <fill>
        <patternFill patternType="solid">
          <fgColor rgb="FFC8C8C8"/>
          <bgColor rgb="FFC8C8C8"/>
        </patternFill>
      </fill>
    </dxf>
    <dxf>
      <fill>
        <patternFill patternType="solid">
          <fgColor rgb="FFBD0000"/>
          <bgColor rgb="FFBD0000"/>
        </patternFill>
      </fill>
    </dxf>
    <dxf>
      <fill>
        <patternFill patternType="solid">
          <fgColor rgb="FFBF9000"/>
          <bgColor rgb="FFBF9000"/>
        </patternFill>
      </fill>
    </dxf>
    <dxf>
      <fill>
        <patternFill patternType="solid">
          <fgColor rgb="FFC8C8C8"/>
          <bgColor rgb="FFC8C8C8"/>
        </patternFill>
      </fill>
    </dxf>
    <dxf>
      <fill>
        <patternFill patternType="solid">
          <fgColor rgb="FFBD0000"/>
          <bgColor rgb="FFBD0000"/>
        </patternFill>
      </fill>
    </dxf>
    <dxf>
      <fill>
        <patternFill patternType="solid">
          <fgColor rgb="FFBF9000"/>
          <bgColor rgb="FFBF9000"/>
        </patternFill>
      </fill>
    </dxf>
    <dxf>
      <fill>
        <patternFill patternType="solid">
          <fgColor rgb="FFC8C8C8"/>
          <bgColor rgb="FFC8C8C8"/>
        </patternFill>
      </fill>
    </dxf>
    <dxf>
      <fill>
        <patternFill patternType="solid">
          <fgColor rgb="FFBD0000"/>
          <bgColor rgb="FFBD0000"/>
        </patternFill>
      </fill>
    </dxf>
    <dxf>
      <fill>
        <patternFill patternType="solid">
          <fgColor rgb="FFBF9000"/>
          <bgColor rgb="FFBF9000"/>
        </patternFill>
      </fill>
    </dxf>
    <dxf>
      <fill>
        <patternFill patternType="solid">
          <fgColor rgb="FFC8C8C8"/>
          <bgColor rgb="FFC8C8C8"/>
        </patternFill>
      </fill>
    </dxf>
    <dxf>
      <fill>
        <patternFill patternType="solid">
          <fgColor rgb="FFBD0000"/>
          <bgColor rgb="FFBD0000"/>
        </patternFill>
      </fill>
    </dxf>
    <dxf>
      <fill>
        <patternFill patternType="solid">
          <fgColor rgb="FFBF9000"/>
          <bgColor rgb="FFBF9000"/>
        </patternFill>
      </fill>
    </dxf>
    <dxf>
      <fill>
        <patternFill patternType="solid">
          <fgColor rgb="FFC8C8C8"/>
          <bgColor rgb="FFC8C8C8"/>
        </patternFill>
      </fill>
    </dxf>
    <dxf>
      <fill>
        <patternFill patternType="solid">
          <fgColor rgb="FFBD0000"/>
          <bgColor rgb="FFBD0000"/>
        </patternFill>
      </fill>
    </dxf>
    <dxf>
      <fill>
        <patternFill patternType="solid">
          <fgColor rgb="FFBF9000"/>
          <bgColor rgb="FFBF9000"/>
        </patternFill>
      </fill>
    </dxf>
    <dxf>
      <fill>
        <patternFill patternType="solid">
          <fgColor rgb="FFC8C8C8"/>
          <bgColor rgb="FFC8C8C8"/>
        </patternFill>
      </fill>
    </dxf>
    <dxf>
      <fill>
        <patternFill patternType="solid">
          <fgColor rgb="FFBD0000"/>
          <bgColor rgb="FFBD0000"/>
        </patternFill>
      </fill>
    </dxf>
    <dxf>
      <fill>
        <patternFill patternType="solid">
          <fgColor rgb="FFBF9000"/>
          <bgColor rgb="FFBF9000"/>
        </patternFill>
      </fill>
    </dxf>
    <dxf>
      <fill>
        <patternFill patternType="solid">
          <fgColor rgb="FFC8C8C8"/>
          <bgColor rgb="FFC8C8C8"/>
        </patternFill>
      </fill>
    </dxf>
    <dxf>
      <fill>
        <patternFill patternType="solid">
          <fgColor rgb="FFBD0000"/>
          <bgColor rgb="FFBD0000"/>
        </patternFill>
      </fill>
    </dxf>
    <dxf>
      <font>
        <color theme="1"/>
      </font>
      <fill>
        <patternFill patternType="solid">
          <bgColor rgb="FF00B050"/>
        </patternFill>
      </fill>
    </dxf>
    <dxf>
      <font>
        <color theme="1"/>
      </font>
      <fill>
        <patternFill patternType="solid">
          <bgColor rgb="FFFFFF00"/>
        </patternFill>
      </fill>
    </dxf>
    <dxf>
      <font>
        <color theme="1"/>
      </font>
      <fill>
        <patternFill patternType="solid">
          <bgColor rgb="FFFF0000"/>
        </patternFill>
      </fill>
    </dxf>
    <dxf>
      <fill>
        <patternFill patternType="solid">
          <bgColor rgb="FF00B050"/>
        </patternFill>
      </fill>
    </dxf>
    <dxf>
      <font>
        <color theme="1"/>
      </font>
      <fill>
        <patternFill patternType="solid">
          <bgColor rgb="FFFFFF00"/>
        </patternFill>
      </fill>
    </dxf>
    <dxf>
      <font>
        <color theme="1"/>
      </font>
      <fill>
        <patternFill patternType="solid">
          <bgColor rgb="FFFF0000"/>
        </patternFill>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none"/>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none"/>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none"/>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none"/>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none"/>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none"/>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none"/>
      </fill>
    </dxf>
    <dxf>
      <font>
        <color rgb="FF00B0F0"/>
      </font>
      <fill>
        <patternFill patternType="solid">
          <bgColor theme="0"/>
        </patternFill>
      </fill>
    </dxf>
    <dxf>
      <font>
        <color rgb="FF00B050"/>
      </font>
      <fill>
        <patternFill patternType="solid">
          <bgColor theme="0"/>
        </patternFill>
      </fill>
    </dxf>
    <dxf>
      <font>
        <color rgb="FFFF0000"/>
      </font>
      <fill>
        <patternFill patternType="solid">
          <bgColor theme="0"/>
        </patternFill>
      </fill>
    </dxf>
    <dxf>
      <font>
        <color rgb="FFFF0000"/>
      </font>
      <fill>
        <patternFill patternType="solid">
          <bgColor theme="0"/>
        </patternFill>
      </fill>
    </dxf>
    <dxf>
      <font>
        <color rgb="FF00B0F0"/>
      </font>
      <fill>
        <patternFill patternType="solid">
          <bgColor theme="0"/>
        </patternFill>
      </fill>
    </dxf>
    <dxf>
      <font>
        <color rgb="FF00B050"/>
      </font>
      <fill>
        <patternFill patternType="solid">
          <bgColor theme="0"/>
        </patternFill>
      </fill>
    </dxf>
    <dxf>
      <font>
        <color rgb="FFFF0000"/>
      </font>
      <fill>
        <patternFill patternType="solid">
          <bgColor theme="0"/>
        </patternFill>
      </fill>
    </dxf>
    <dxf>
      <font>
        <color rgb="FF00B0F0"/>
      </font>
      <fill>
        <patternFill patternType="solid">
          <bgColor theme="0"/>
        </patternFill>
      </fill>
    </dxf>
    <dxf>
      <font>
        <color rgb="FF00B050"/>
      </font>
      <fill>
        <patternFill patternType="solid">
          <bgColor theme="0"/>
        </patternFill>
      </fill>
    </dxf>
    <dxf>
      <font>
        <color rgb="FFFF0000"/>
      </font>
      <fill>
        <patternFill patternType="solid">
          <bgColor theme="0"/>
        </patternFill>
      </fill>
    </dxf>
    <dxf>
      <font>
        <color rgb="FF00B0F0"/>
      </font>
      <fill>
        <patternFill patternType="solid">
          <bgColor theme="0"/>
        </patternFill>
      </fill>
    </dxf>
    <dxf>
      <font>
        <color rgb="FF00B050"/>
      </font>
      <fill>
        <patternFill patternType="solid">
          <bgColor theme="0"/>
        </patternFill>
      </fill>
    </dxf>
    <dxf>
      <font>
        <color rgb="FFFF0000"/>
      </font>
      <fill>
        <patternFill patternType="solid">
          <bgColor theme="0"/>
        </patternFill>
      </fill>
    </dxf>
    <dxf>
      <font>
        <color rgb="FF00B0F0"/>
      </font>
      <fill>
        <patternFill patternType="solid">
          <bgColor theme="0"/>
        </patternFill>
      </fill>
    </dxf>
    <dxf>
      <font>
        <color rgb="FF00B050"/>
      </font>
      <fill>
        <patternFill patternType="solid">
          <bgColor theme="0"/>
        </patternFill>
      </fill>
    </dxf>
    <dxf>
      <font>
        <color rgb="FFFF0000"/>
      </font>
      <fill>
        <patternFill patternType="solid">
          <bgColor theme="0"/>
        </patternFill>
      </fill>
    </dxf>
    <dxf>
      <font>
        <color rgb="FF00B0F0"/>
      </font>
      <fill>
        <patternFill patternType="solid">
          <bgColor theme="0"/>
        </patternFill>
      </fill>
    </dxf>
    <dxf>
      <font>
        <color rgb="FF00B050"/>
      </font>
      <fill>
        <patternFill patternType="solid">
          <bgColor theme="0"/>
        </patternFill>
      </fill>
    </dxf>
    <dxf>
      <font>
        <color rgb="FF00B0F0"/>
      </font>
      <fill>
        <patternFill patternType="solid">
          <bgColor theme="0"/>
        </patternFill>
      </fill>
    </dxf>
    <dxf>
      <font>
        <color rgb="FF00B050"/>
      </font>
      <fill>
        <patternFill patternType="solid">
          <bgColor theme="0"/>
        </patternFill>
      </fill>
    </dxf>
    <dxf>
      <font>
        <color rgb="FFFF0000"/>
      </font>
      <fill>
        <patternFill patternType="solid">
          <bgColor theme="0"/>
        </patternFill>
      </fill>
    </dxf>
    <dxf>
      <font>
        <color rgb="FF00B0F0"/>
      </font>
      <fill>
        <patternFill patternType="solid">
          <bgColor theme="0"/>
        </patternFill>
      </fill>
    </dxf>
    <dxf>
      <font>
        <color rgb="FF00B050"/>
      </font>
      <fill>
        <patternFill patternType="solid">
          <bgColor theme="0"/>
        </patternFill>
      </fill>
    </dxf>
    <dxf>
      <font>
        <color rgb="FFFF0000"/>
      </font>
      <fill>
        <patternFill patternType="solid">
          <bgColor theme="0"/>
        </patternFill>
      </fill>
    </dxf>
    <dxf>
      <font>
        <color rgb="FF00B0F0"/>
      </font>
      <fill>
        <patternFill patternType="solid">
          <bgColor theme="0"/>
        </patternFill>
      </fill>
    </dxf>
    <dxf>
      <font>
        <color rgb="FF00B050"/>
      </font>
      <fill>
        <patternFill patternType="solid">
          <bgColor theme="0"/>
        </patternFill>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none"/>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none"/>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none"/>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none"/>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none"/>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none"/>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none"/>
      </fill>
    </dxf>
    <dxf>
      <font>
        <color rgb="FF006100"/>
      </font>
      <fill>
        <patternFill patternType="solid">
          <fgColor rgb="FFC6EFCE"/>
          <bgColor rgb="FFC6EFCE"/>
        </patternFill>
      </fill>
    </dxf>
    <dxf>
      <font>
        <color rgb="FF00B0F0"/>
      </font>
      <fill>
        <patternFill patternType="solid">
          <bgColor theme="0"/>
        </patternFill>
      </fill>
    </dxf>
    <dxf>
      <font>
        <color rgb="FF00B050"/>
      </font>
      <fill>
        <patternFill patternType="solid">
          <bgColor theme="0"/>
        </patternFill>
      </fill>
    </dxf>
    <dxf>
      <font>
        <color rgb="FFFF0000"/>
      </font>
      <fill>
        <patternFill patternType="solid">
          <bgColor theme="0"/>
        </patternFill>
      </fill>
    </dxf>
    <dxf>
      <font>
        <color rgb="FFFF0000"/>
      </font>
      <fill>
        <patternFill patternType="solid">
          <bgColor theme="0"/>
        </patternFill>
      </fill>
    </dxf>
    <dxf>
      <font>
        <color rgb="FF00B0F0"/>
      </font>
      <fill>
        <patternFill patternType="solid">
          <bgColor theme="0"/>
        </patternFill>
      </fill>
    </dxf>
    <dxf>
      <font>
        <color rgb="FF00B050"/>
      </font>
      <fill>
        <patternFill patternType="solid">
          <bgColor theme="0"/>
        </patternFill>
      </fill>
    </dxf>
    <dxf>
      <font>
        <color rgb="FFFF0000"/>
      </font>
      <fill>
        <patternFill patternType="solid">
          <bgColor theme="0"/>
        </patternFill>
      </fill>
    </dxf>
    <dxf>
      <font>
        <color rgb="FF00B0F0"/>
      </font>
      <fill>
        <patternFill patternType="solid">
          <bgColor theme="0"/>
        </patternFill>
      </fill>
    </dxf>
    <dxf>
      <font>
        <color rgb="FF00B050"/>
      </font>
      <fill>
        <patternFill patternType="solid">
          <bgColor theme="0"/>
        </patternFill>
      </fill>
    </dxf>
    <dxf>
      <font>
        <color rgb="FFFF0000"/>
      </font>
      <fill>
        <patternFill patternType="solid">
          <bgColor theme="0"/>
        </patternFill>
      </fill>
    </dxf>
    <dxf>
      <font>
        <color rgb="FF00B0F0"/>
      </font>
      <fill>
        <patternFill patternType="solid">
          <bgColor theme="0"/>
        </patternFill>
      </fill>
    </dxf>
    <dxf>
      <font>
        <color rgb="FF00B050"/>
      </font>
      <fill>
        <patternFill patternType="solid">
          <bgColor theme="0"/>
        </patternFill>
      </fill>
    </dxf>
    <dxf>
      <font>
        <color rgb="FFFF0000"/>
      </font>
      <fill>
        <patternFill patternType="solid">
          <bgColor theme="0"/>
        </patternFill>
      </fill>
    </dxf>
    <dxf>
      <font>
        <color rgb="FF00B0F0"/>
      </font>
      <fill>
        <patternFill patternType="solid">
          <bgColor theme="0"/>
        </patternFill>
      </fill>
    </dxf>
    <dxf>
      <font>
        <color rgb="FF00B050"/>
      </font>
      <fill>
        <patternFill patternType="solid">
          <bgColor theme="0"/>
        </patternFill>
      </fill>
    </dxf>
    <dxf>
      <font>
        <color rgb="FFFF0000"/>
      </font>
      <fill>
        <patternFill patternType="solid">
          <bgColor theme="0"/>
        </patternFill>
      </fill>
    </dxf>
    <dxf>
      <font>
        <color rgb="FF00B0F0"/>
      </font>
      <fill>
        <patternFill patternType="solid">
          <bgColor theme="0"/>
        </patternFill>
      </fill>
    </dxf>
    <dxf>
      <font>
        <color rgb="FF00B050"/>
      </font>
      <fill>
        <patternFill patternType="solid">
          <bgColor theme="0"/>
        </patternFill>
      </fill>
    </dxf>
    <dxf>
      <font>
        <color rgb="FF00B0F0"/>
      </font>
      <fill>
        <patternFill patternType="solid">
          <bgColor theme="0"/>
        </patternFill>
      </fill>
    </dxf>
    <dxf>
      <font>
        <color rgb="FF00B050"/>
      </font>
      <fill>
        <patternFill patternType="solid">
          <bgColor theme="0"/>
        </patternFill>
      </fill>
    </dxf>
    <dxf>
      <font>
        <color rgb="FFFF0000"/>
      </font>
      <fill>
        <patternFill patternType="solid">
          <bgColor theme="0"/>
        </patternFill>
      </fill>
    </dxf>
    <dxf>
      <font>
        <color rgb="FF00B0F0"/>
      </font>
      <fill>
        <patternFill patternType="solid">
          <bgColor theme="0"/>
        </patternFill>
      </fill>
    </dxf>
    <dxf>
      <font>
        <color rgb="FF00B050"/>
      </font>
      <fill>
        <patternFill patternType="solid">
          <bgColor theme="0"/>
        </patternFill>
      </fill>
    </dxf>
    <dxf>
      <font>
        <color rgb="FFFF0000"/>
      </font>
      <fill>
        <patternFill patternType="solid">
          <bgColor theme="0"/>
        </patternFill>
      </fill>
    </dxf>
    <dxf>
      <font>
        <color rgb="FF00B0F0"/>
      </font>
      <fill>
        <patternFill patternType="solid">
          <bgColor theme="0"/>
        </patternFill>
      </fill>
    </dxf>
    <dxf>
      <font>
        <color rgb="FF00B050"/>
      </font>
      <fill>
        <patternFill patternType="solid">
          <bgColor theme="0"/>
        </patternFill>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none"/>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none"/>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none"/>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none"/>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none"/>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none"/>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none"/>
      </fill>
    </dxf>
    <dxf>
      <font>
        <color rgb="FF4A86E8"/>
      </font>
      <fill>
        <patternFill patternType="none"/>
      </fill>
    </dxf>
    <dxf>
      <font>
        <color rgb="FFFF0000"/>
      </font>
      <fill>
        <patternFill patternType="none"/>
      </fill>
    </dxf>
    <dxf>
      <font>
        <color rgb="FF00B050"/>
      </font>
      <fill>
        <patternFill patternType="none"/>
      </fill>
    </dxf>
    <dxf>
      <font>
        <color rgb="FF00B0F0"/>
      </font>
      <fill>
        <patternFill patternType="solid">
          <bgColor theme="0"/>
        </patternFill>
      </fill>
    </dxf>
    <dxf>
      <font>
        <color rgb="FF00B050"/>
      </font>
      <fill>
        <patternFill patternType="solid">
          <bgColor theme="0"/>
        </patternFill>
      </fill>
    </dxf>
    <dxf>
      <font>
        <color rgb="FFFF0000"/>
      </font>
      <fill>
        <patternFill patternType="solid">
          <bgColor theme="0"/>
        </patternFill>
      </fill>
    </dxf>
    <dxf>
      <font>
        <color rgb="FFFF0000"/>
      </font>
      <fill>
        <patternFill patternType="solid">
          <bgColor theme="0"/>
        </patternFill>
      </fill>
    </dxf>
    <dxf>
      <font>
        <color rgb="FF00B0F0"/>
      </font>
      <fill>
        <patternFill patternType="solid">
          <bgColor theme="0"/>
        </patternFill>
      </fill>
    </dxf>
    <dxf>
      <font>
        <color rgb="FF00B050"/>
      </font>
      <fill>
        <patternFill patternType="solid">
          <bgColor theme="0"/>
        </patternFill>
      </fill>
    </dxf>
    <dxf>
      <font>
        <color rgb="FFFF0000"/>
      </font>
      <fill>
        <patternFill patternType="solid">
          <bgColor theme="0"/>
        </patternFill>
      </fill>
    </dxf>
    <dxf>
      <font>
        <color rgb="FF00B0F0"/>
      </font>
      <fill>
        <patternFill patternType="solid">
          <bgColor theme="0"/>
        </patternFill>
      </fill>
    </dxf>
    <dxf>
      <font>
        <color rgb="FF00B050"/>
      </font>
      <fill>
        <patternFill patternType="solid">
          <bgColor theme="0"/>
        </patternFill>
      </fill>
    </dxf>
    <dxf>
      <font>
        <color rgb="FFFF0000"/>
      </font>
      <fill>
        <patternFill patternType="solid">
          <bgColor theme="0"/>
        </patternFill>
      </fill>
    </dxf>
    <dxf>
      <font>
        <color rgb="FF00B0F0"/>
      </font>
      <fill>
        <patternFill patternType="solid">
          <bgColor theme="0"/>
        </patternFill>
      </fill>
    </dxf>
    <dxf>
      <font>
        <color rgb="FF00B050"/>
      </font>
      <fill>
        <patternFill patternType="solid">
          <bgColor theme="0"/>
        </patternFill>
      </fill>
    </dxf>
    <dxf>
      <font>
        <color rgb="FFFF0000"/>
      </font>
      <fill>
        <patternFill patternType="solid">
          <bgColor theme="0"/>
        </patternFill>
      </fill>
    </dxf>
    <dxf>
      <font>
        <color rgb="FF00B0F0"/>
      </font>
      <fill>
        <patternFill patternType="solid">
          <bgColor theme="0"/>
        </patternFill>
      </fill>
    </dxf>
    <dxf>
      <font>
        <color rgb="FF00B050"/>
      </font>
      <fill>
        <patternFill patternType="solid">
          <bgColor theme="0"/>
        </patternFill>
      </fill>
    </dxf>
    <dxf>
      <font>
        <color rgb="FFFF0000"/>
      </font>
      <fill>
        <patternFill patternType="solid">
          <bgColor theme="0"/>
        </patternFill>
      </fill>
    </dxf>
    <dxf>
      <font>
        <color rgb="FF00B0F0"/>
      </font>
      <fill>
        <patternFill patternType="solid">
          <bgColor theme="0"/>
        </patternFill>
      </fill>
    </dxf>
    <dxf>
      <font>
        <color rgb="FF00B050"/>
      </font>
      <fill>
        <patternFill patternType="solid">
          <bgColor theme="0"/>
        </patternFill>
      </fill>
    </dxf>
    <dxf>
      <font>
        <color rgb="FF00B0F0"/>
      </font>
      <fill>
        <patternFill patternType="solid">
          <bgColor theme="0"/>
        </patternFill>
      </fill>
    </dxf>
    <dxf>
      <font>
        <color rgb="FF00B050"/>
      </font>
      <fill>
        <patternFill patternType="solid">
          <bgColor theme="0"/>
        </patternFill>
      </fill>
    </dxf>
    <dxf>
      <font>
        <color rgb="FFFF0000"/>
      </font>
      <fill>
        <patternFill patternType="solid">
          <bgColor theme="0"/>
        </patternFill>
      </fill>
    </dxf>
    <dxf>
      <font>
        <color rgb="FF00B0F0"/>
      </font>
      <fill>
        <patternFill patternType="solid">
          <bgColor theme="0"/>
        </patternFill>
      </fill>
    </dxf>
    <dxf>
      <font>
        <color rgb="FF00B050"/>
      </font>
      <fill>
        <patternFill patternType="solid">
          <bgColor theme="0"/>
        </patternFill>
      </fill>
    </dxf>
    <dxf>
      <font>
        <color rgb="FFFF0000"/>
      </font>
      <fill>
        <patternFill patternType="solid">
          <bgColor theme="0"/>
        </patternFill>
      </fill>
    </dxf>
    <dxf>
      <font>
        <color rgb="FF00B0F0"/>
      </font>
      <fill>
        <patternFill patternType="solid">
          <bgColor theme="0"/>
        </patternFill>
      </fill>
    </dxf>
    <dxf>
      <font>
        <color rgb="FF00B050"/>
      </font>
      <fill>
        <patternFill patternType="solid">
          <bgColor theme="0"/>
        </patternFill>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none"/>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none"/>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none"/>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none"/>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none"/>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none"/>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none"/>
      </fill>
    </dxf>
    <dxf>
      <font>
        <color rgb="FF00B0F0"/>
      </font>
      <fill>
        <patternFill patternType="solid">
          <bgColor theme="0"/>
        </patternFill>
      </fill>
    </dxf>
    <dxf>
      <font>
        <color rgb="FF00B050"/>
      </font>
      <fill>
        <patternFill patternType="solid">
          <bgColor theme="0"/>
        </patternFill>
      </fill>
    </dxf>
    <dxf>
      <font>
        <color rgb="FFFF0000"/>
      </font>
      <fill>
        <patternFill patternType="solid">
          <bgColor theme="0"/>
        </patternFill>
      </fill>
    </dxf>
    <dxf>
      <font>
        <color rgb="FFFF0000"/>
      </font>
      <fill>
        <patternFill patternType="solid">
          <bgColor theme="0"/>
        </patternFill>
      </fill>
    </dxf>
    <dxf>
      <font>
        <color rgb="FF00B0F0"/>
      </font>
      <fill>
        <patternFill patternType="solid">
          <bgColor theme="0"/>
        </patternFill>
      </fill>
    </dxf>
    <dxf>
      <font>
        <color rgb="FF00B050"/>
      </font>
      <fill>
        <patternFill patternType="solid">
          <bgColor theme="0"/>
        </patternFill>
      </fill>
    </dxf>
    <dxf>
      <font>
        <color rgb="FFFF0000"/>
      </font>
      <fill>
        <patternFill patternType="solid">
          <bgColor theme="0"/>
        </patternFill>
      </fill>
    </dxf>
    <dxf>
      <font>
        <color rgb="FF00B0F0"/>
      </font>
      <fill>
        <patternFill patternType="solid">
          <bgColor theme="0"/>
        </patternFill>
      </fill>
    </dxf>
    <dxf>
      <font>
        <color rgb="FF00B050"/>
      </font>
      <fill>
        <patternFill patternType="solid">
          <bgColor theme="0"/>
        </patternFill>
      </fill>
    </dxf>
    <dxf>
      <font>
        <color rgb="FFFF0000"/>
      </font>
      <fill>
        <patternFill patternType="solid">
          <bgColor theme="0"/>
        </patternFill>
      </fill>
    </dxf>
    <dxf>
      <font>
        <color rgb="FF00B0F0"/>
      </font>
      <fill>
        <patternFill patternType="solid">
          <bgColor theme="0"/>
        </patternFill>
      </fill>
    </dxf>
    <dxf>
      <font>
        <color rgb="FF00B050"/>
      </font>
      <fill>
        <patternFill patternType="solid">
          <bgColor theme="0"/>
        </patternFill>
      </fill>
    </dxf>
    <dxf>
      <font>
        <color rgb="FFFF0000"/>
      </font>
      <fill>
        <patternFill patternType="solid">
          <bgColor theme="0"/>
        </patternFill>
      </fill>
    </dxf>
    <dxf>
      <font>
        <color rgb="FF00B0F0"/>
      </font>
      <fill>
        <patternFill patternType="solid">
          <bgColor theme="0"/>
        </patternFill>
      </fill>
    </dxf>
    <dxf>
      <font>
        <color rgb="FF00B050"/>
      </font>
      <fill>
        <patternFill patternType="solid">
          <bgColor theme="0"/>
        </patternFill>
      </fill>
    </dxf>
    <dxf>
      <font>
        <color rgb="FFFF0000"/>
      </font>
      <fill>
        <patternFill patternType="solid">
          <bgColor theme="0"/>
        </patternFill>
      </fill>
    </dxf>
    <dxf>
      <font>
        <color rgb="FF00B0F0"/>
      </font>
      <fill>
        <patternFill patternType="solid">
          <bgColor theme="0"/>
        </patternFill>
      </fill>
    </dxf>
    <dxf>
      <font>
        <color rgb="FF00B050"/>
      </font>
      <fill>
        <patternFill patternType="solid">
          <bgColor theme="0"/>
        </patternFill>
      </fill>
    </dxf>
    <dxf>
      <font>
        <color rgb="FF00B0F0"/>
      </font>
      <fill>
        <patternFill patternType="solid">
          <bgColor theme="0"/>
        </patternFill>
      </fill>
    </dxf>
    <dxf>
      <font>
        <color rgb="FF00B050"/>
      </font>
      <fill>
        <patternFill patternType="solid">
          <bgColor theme="0"/>
        </patternFill>
      </fill>
    </dxf>
    <dxf>
      <font>
        <color rgb="FFFF0000"/>
      </font>
      <fill>
        <patternFill patternType="solid">
          <bgColor theme="0"/>
        </patternFill>
      </fill>
    </dxf>
    <dxf>
      <font>
        <color rgb="FF00B0F0"/>
      </font>
      <fill>
        <patternFill patternType="solid">
          <bgColor theme="0"/>
        </patternFill>
      </fill>
    </dxf>
    <dxf>
      <font>
        <color rgb="FF00B050"/>
      </font>
      <fill>
        <patternFill patternType="solid">
          <bgColor theme="0"/>
        </patternFill>
      </fill>
    </dxf>
    <dxf>
      <font>
        <color rgb="FFFF0000"/>
      </font>
      <fill>
        <patternFill patternType="solid">
          <bgColor theme="0"/>
        </patternFill>
      </fill>
    </dxf>
    <dxf>
      <font>
        <color rgb="FF00B0F0"/>
      </font>
      <fill>
        <patternFill patternType="solid">
          <bgColor theme="0"/>
        </patternFill>
      </fill>
    </dxf>
    <dxf>
      <font>
        <color rgb="FF00B050"/>
      </font>
      <fill>
        <patternFill patternType="solid">
          <bgColor theme="0"/>
        </patternFill>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none"/>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none"/>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none"/>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none"/>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ont>
        <color rgb="FF00B0F0"/>
      </font>
      <fill>
        <patternFill patternType="solid">
          <bgColor theme="0"/>
        </patternFill>
      </fill>
    </dxf>
    <dxf>
      <font>
        <color rgb="FF00B050"/>
      </font>
      <fill>
        <patternFill patternType="solid">
          <bgColor theme="0"/>
        </patternFill>
      </fill>
    </dxf>
    <dxf>
      <font>
        <color rgb="FFFF0000"/>
      </font>
      <fill>
        <patternFill patternType="solid">
          <bgColor theme="0"/>
        </patternFill>
      </fill>
    </dxf>
    <dxf>
      <font>
        <color rgb="FFFF0000"/>
      </font>
      <fill>
        <patternFill patternType="solid">
          <bgColor theme="0"/>
        </patternFill>
      </fill>
    </dxf>
    <dxf>
      <font>
        <color rgb="FF00B0F0"/>
      </font>
      <fill>
        <patternFill patternType="solid">
          <bgColor theme="0"/>
        </patternFill>
      </fill>
    </dxf>
    <dxf>
      <font>
        <color rgb="FF00B050"/>
      </font>
      <fill>
        <patternFill patternType="solid">
          <bgColor theme="0"/>
        </patternFill>
      </fill>
    </dxf>
    <dxf>
      <font>
        <color rgb="FFFF0000"/>
      </font>
      <fill>
        <patternFill patternType="solid">
          <bgColor theme="0"/>
        </patternFill>
      </fill>
    </dxf>
    <dxf>
      <font>
        <color rgb="FF00B0F0"/>
      </font>
      <fill>
        <patternFill patternType="solid">
          <bgColor theme="0"/>
        </patternFill>
      </fill>
    </dxf>
    <dxf>
      <font>
        <color rgb="FF00B050"/>
      </font>
      <fill>
        <patternFill patternType="solid">
          <bgColor theme="0"/>
        </patternFill>
      </fill>
    </dxf>
    <dxf>
      <font>
        <color rgb="FFFF0000"/>
      </font>
      <fill>
        <patternFill patternType="solid">
          <bgColor theme="0"/>
        </patternFill>
      </fill>
    </dxf>
    <dxf>
      <font>
        <color rgb="FF00B0F0"/>
      </font>
      <fill>
        <patternFill patternType="solid">
          <bgColor theme="0"/>
        </patternFill>
      </fill>
    </dxf>
    <dxf>
      <font>
        <color rgb="FF00B050"/>
      </font>
      <fill>
        <patternFill patternType="solid">
          <bgColor theme="0"/>
        </patternFill>
      </fill>
    </dxf>
    <dxf>
      <font>
        <color rgb="FFFF0000"/>
      </font>
      <fill>
        <patternFill patternType="solid">
          <bgColor theme="0"/>
        </patternFill>
      </fill>
    </dxf>
    <dxf>
      <font>
        <color rgb="FF00B0F0"/>
      </font>
      <fill>
        <patternFill patternType="solid">
          <bgColor theme="0"/>
        </patternFill>
      </fill>
    </dxf>
    <dxf>
      <font>
        <color rgb="FF00B050"/>
      </font>
      <fill>
        <patternFill patternType="solid">
          <bgColor theme="0"/>
        </patternFill>
      </fill>
    </dxf>
    <dxf>
      <font>
        <color rgb="FFFF0000"/>
      </font>
      <fill>
        <patternFill patternType="solid">
          <bgColor theme="0"/>
        </patternFill>
      </fill>
    </dxf>
    <dxf>
      <font>
        <color rgb="FF00B0F0"/>
      </font>
      <fill>
        <patternFill patternType="solid">
          <bgColor theme="0"/>
        </patternFill>
      </fill>
    </dxf>
    <dxf>
      <font>
        <color rgb="FF00B050"/>
      </font>
      <fill>
        <patternFill patternType="solid">
          <bgColor theme="0"/>
        </patternFill>
      </fill>
    </dxf>
    <dxf>
      <font>
        <color rgb="FF00B0F0"/>
      </font>
      <fill>
        <patternFill patternType="solid">
          <bgColor theme="0"/>
        </patternFill>
      </fill>
    </dxf>
    <dxf>
      <font>
        <color rgb="FF00B050"/>
      </font>
      <fill>
        <patternFill patternType="solid">
          <bgColor theme="0"/>
        </patternFill>
      </fill>
    </dxf>
    <dxf>
      <font>
        <color rgb="FFFF0000"/>
      </font>
      <fill>
        <patternFill patternType="solid">
          <bgColor theme="0"/>
        </patternFill>
      </fill>
    </dxf>
    <dxf>
      <font>
        <color rgb="FF00B0F0"/>
      </font>
      <fill>
        <patternFill patternType="solid">
          <bgColor theme="0"/>
        </patternFill>
      </fill>
    </dxf>
    <dxf>
      <font>
        <color rgb="FF00B050"/>
      </font>
      <fill>
        <patternFill patternType="solid">
          <bgColor theme="0"/>
        </patternFill>
      </fill>
    </dxf>
    <dxf>
      <font>
        <color rgb="FFFF0000"/>
      </font>
      <fill>
        <patternFill patternType="solid">
          <bgColor theme="0"/>
        </patternFill>
      </fill>
    </dxf>
    <dxf>
      <font>
        <color rgb="FF00B0F0"/>
      </font>
      <fill>
        <patternFill patternType="solid">
          <bgColor theme="0"/>
        </patternFill>
      </fill>
    </dxf>
    <dxf>
      <font>
        <color rgb="FF00B050"/>
      </font>
      <fill>
        <patternFill patternType="solid">
          <bgColor theme="0"/>
        </patternFill>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none"/>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none"/>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none"/>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9C5700"/>
      </font>
      <fill>
        <patternFill patternType="solid">
          <fgColor rgb="FFFFEB9C"/>
          <bgColor rgb="FFFFEB9C"/>
        </patternFill>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4A86E8"/>
      </font>
      <fill>
        <patternFill patternType="none"/>
      </fill>
    </dxf>
    <dxf>
      <font>
        <color rgb="FFFF0000"/>
      </font>
      <fill>
        <patternFill patternType="none"/>
      </fill>
    </dxf>
    <dxf>
      <font>
        <color rgb="FF00B050"/>
      </font>
      <fill>
        <patternFill patternType="none"/>
      </fill>
    </dxf>
    <dxf>
      <font>
        <color rgb="FF4A86E8"/>
      </font>
      <fill>
        <patternFill patternType="none"/>
      </fill>
    </dxf>
    <dxf>
      <font>
        <color rgb="FFFF0000"/>
      </font>
      <fill>
        <patternFill patternType="none"/>
      </fill>
    </dxf>
    <dxf>
      <font>
        <color rgb="FF00B050"/>
      </font>
      <fill>
        <patternFill patternType="none"/>
      </fill>
    </dxf>
    <dxf>
      <font>
        <color rgb="FF4A86E8"/>
      </font>
      <fill>
        <patternFill patternType="none"/>
      </fill>
    </dxf>
    <dxf>
      <font>
        <color rgb="FFFF0000"/>
      </font>
      <fill>
        <patternFill patternType="none"/>
      </fill>
    </dxf>
    <dxf>
      <font>
        <color rgb="FF00B050"/>
      </font>
      <fill>
        <patternFill patternType="none"/>
      </fill>
    </dxf>
    <dxf>
      <font>
        <color rgb="FF4A86E8"/>
      </font>
      <fill>
        <patternFill patternType="none"/>
      </fill>
    </dxf>
    <dxf>
      <font>
        <color rgb="FFFF0000"/>
      </font>
      <fill>
        <patternFill patternType="none"/>
      </fill>
    </dxf>
    <dxf>
      <font>
        <color rgb="FF00B050"/>
      </font>
      <fill>
        <patternFill patternType="none"/>
      </fill>
    </dxf>
    <dxf>
      <font>
        <color rgb="FF4A86E8"/>
      </font>
      <fill>
        <patternFill patternType="none"/>
      </fill>
    </dxf>
    <dxf>
      <font>
        <color rgb="FFFF0000"/>
      </font>
      <fill>
        <patternFill patternType="none"/>
      </fill>
    </dxf>
    <dxf>
      <font>
        <color rgb="FF00B050"/>
      </font>
      <fill>
        <patternFill patternType="none"/>
      </fill>
    </dxf>
    <dxf>
      <font>
        <color rgb="FF4A86E8"/>
      </font>
      <fill>
        <patternFill patternType="none"/>
      </fill>
    </dxf>
    <dxf>
      <font>
        <color rgb="FFFF0000"/>
      </font>
      <fill>
        <patternFill patternType="none"/>
      </fill>
    </dxf>
    <dxf>
      <font>
        <color rgb="FF00B050"/>
      </font>
      <fill>
        <patternFill patternType="none"/>
      </fill>
    </dxf>
    <dxf>
      <font>
        <color rgb="FF4A86E8"/>
      </font>
      <fill>
        <patternFill patternType="none"/>
      </fill>
    </dxf>
    <dxf>
      <font>
        <color rgb="FFFF0000"/>
      </font>
      <fill>
        <patternFill patternType="none"/>
      </fill>
    </dxf>
    <dxf>
      <font>
        <color rgb="FF00B050"/>
      </font>
      <fill>
        <patternFill patternType="none"/>
      </fill>
    </dxf>
    <dxf>
      <font>
        <color rgb="FF4A86E8"/>
      </font>
      <fill>
        <patternFill patternType="none"/>
      </fill>
    </dxf>
    <dxf>
      <font>
        <color rgb="FFFF0000"/>
      </font>
      <fill>
        <patternFill patternType="none"/>
      </fill>
    </dxf>
    <dxf>
      <font>
        <color rgb="FF00B050"/>
      </font>
      <fill>
        <patternFill patternType="none"/>
      </fill>
    </dxf>
    <dxf>
      <font>
        <color rgb="FF4A86E8"/>
      </font>
      <fill>
        <patternFill patternType="none"/>
      </fill>
    </dxf>
    <dxf>
      <font>
        <color rgb="FFFF0000"/>
      </font>
      <fill>
        <patternFill patternType="none"/>
      </fill>
    </dxf>
    <dxf>
      <font>
        <color rgb="FF00B050"/>
      </font>
      <fill>
        <patternFill patternType="none"/>
      </fill>
    </dxf>
    <dxf>
      <font>
        <color rgb="FF4A86E8"/>
      </font>
      <fill>
        <patternFill patternType="none"/>
      </fill>
    </dxf>
    <dxf>
      <font>
        <color rgb="FFFF0000"/>
      </font>
      <fill>
        <patternFill patternType="none"/>
      </fill>
    </dxf>
    <dxf>
      <font>
        <color rgb="FF00B050"/>
      </font>
      <fill>
        <patternFill patternType="none"/>
      </fill>
    </dxf>
    <dxf>
      <font>
        <color rgb="FF4A86E8"/>
      </font>
      <fill>
        <patternFill patternType="none"/>
      </fill>
    </dxf>
    <dxf>
      <font>
        <color rgb="FFFF0000"/>
      </font>
      <fill>
        <patternFill patternType="none"/>
      </fill>
    </dxf>
    <dxf>
      <font>
        <color rgb="FF00B050"/>
      </font>
      <fill>
        <patternFill patternType="none"/>
      </fill>
    </dxf>
    <dxf>
      <font>
        <color rgb="FF4A86E8"/>
      </font>
      <fill>
        <patternFill patternType="none"/>
      </fill>
    </dxf>
    <dxf>
      <font>
        <color rgb="FFFF0000"/>
      </font>
      <fill>
        <patternFill patternType="none"/>
      </fill>
    </dxf>
    <dxf>
      <font>
        <color rgb="FF00B050"/>
      </font>
      <fill>
        <patternFill patternType="none"/>
      </fill>
    </dxf>
    <dxf>
      <font>
        <color rgb="FF4A86E8"/>
      </font>
      <fill>
        <patternFill patternType="none"/>
      </fill>
    </dxf>
    <dxf>
      <font>
        <color rgb="FFFF0000"/>
      </font>
      <fill>
        <patternFill patternType="none"/>
      </fill>
    </dxf>
    <dxf>
      <font>
        <color rgb="FF00B050"/>
      </font>
      <fill>
        <patternFill patternType="none"/>
      </fill>
    </dxf>
    <dxf>
      <font>
        <color rgb="FF4A86E8"/>
      </font>
      <fill>
        <patternFill patternType="none"/>
      </fill>
    </dxf>
    <dxf>
      <font>
        <color rgb="FFFF0000"/>
      </font>
      <fill>
        <patternFill patternType="none"/>
      </fill>
    </dxf>
    <dxf>
      <font>
        <color rgb="FF00B050"/>
      </font>
      <fill>
        <patternFill patternType="none"/>
      </fill>
    </dxf>
    <dxf>
      <font>
        <color rgb="FF4A86E8"/>
      </font>
      <fill>
        <patternFill patternType="none"/>
      </fill>
    </dxf>
    <dxf>
      <font>
        <color rgb="FFFF0000"/>
      </font>
      <fill>
        <patternFill patternType="none"/>
      </fill>
    </dxf>
    <dxf>
      <font>
        <color rgb="FF00B050"/>
      </font>
      <fill>
        <patternFill patternType="none"/>
      </fill>
    </dxf>
    <dxf>
      <font>
        <color rgb="FF4A86E8"/>
      </font>
      <fill>
        <patternFill patternType="none"/>
      </fill>
    </dxf>
    <dxf>
      <font>
        <color rgb="FFFF0000"/>
      </font>
      <fill>
        <patternFill patternType="none"/>
      </fill>
    </dxf>
    <dxf>
      <font>
        <color rgb="FF00B050"/>
      </font>
      <fill>
        <patternFill patternType="none"/>
      </fill>
    </dxf>
    <dxf>
      <font>
        <color rgb="FF4A86E8"/>
      </font>
      <fill>
        <patternFill patternType="none"/>
      </fill>
    </dxf>
    <dxf>
      <font>
        <color rgb="FFFF0000"/>
      </font>
      <fill>
        <patternFill patternType="none"/>
      </fill>
    </dxf>
    <dxf>
      <font>
        <color rgb="FF00B050"/>
      </font>
      <fill>
        <patternFill patternType="none"/>
      </fill>
    </dxf>
    <dxf>
      <font>
        <color rgb="FF00B0F0"/>
      </font>
      <fill>
        <patternFill patternType="solid">
          <bgColor theme="0"/>
        </patternFill>
      </fill>
    </dxf>
    <dxf>
      <font>
        <color rgb="FF00B050"/>
      </font>
      <fill>
        <patternFill patternType="solid">
          <bgColor theme="0"/>
        </patternFill>
      </fill>
    </dxf>
    <dxf>
      <font>
        <color rgb="FFFF0000"/>
      </font>
      <fill>
        <patternFill patternType="solid">
          <bgColor theme="0"/>
        </patternFill>
      </fill>
    </dxf>
    <dxf>
      <font>
        <color rgb="FFFF0000"/>
      </font>
      <fill>
        <patternFill patternType="solid">
          <bgColor theme="0"/>
        </patternFill>
      </fill>
    </dxf>
    <dxf>
      <font>
        <color rgb="FF00B0F0"/>
      </font>
      <fill>
        <patternFill patternType="solid">
          <bgColor theme="0"/>
        </patternFill>
      </fill>
    </dxf>
    <dxf>
      <font>
        <color rgb="FF00B050"/>
      </font>
      <fill>
        <patternFill patternType="solid">
          <bgColor theme="0"/>
        </patternFill>
      </fill>
    </dxf>
    <dxf>
      <font>
        <color rgb="FFFF0000"/>
      </font>
      <fill>
        <patternFill patternType="solid">
          <bgColor theme="0"/>
        </patternFill>
      </fill>
    </dxf>
    <dxf>
      <font>
        <color rgb="FF00B0F0"/>
      </font>
      <fill>
        <patternFill patternType="solid">
          <bgColor theme="0"/>
        </patternFill>
      </fill>
    </dxf>
    <dxf>
      <font>
        <color rgb="FF00B050"/>
      </font>
      <fill>
        <patternFill patternType="solid">
          <bgColor theme="0"/>
        </patternFill>
      </fill>
    </dxf>
    <dxf>
      <font>
        <color rgb="FFFF0000"/>
      </font>
      <fill>
        <patternFill patternType="solid">
          <bgColor theme="0"/>
        </patternFill>
      </fill>
    </dxf>
    <dxf>
      <font>
        <color rgb="FF00B0F0"/>
      </font>
      <fill>
        <patternFill patternType="solid">
          <bgColor theme="0"/>
        </patternFill>
      </fill>
    </dxf>
    <dxf>
      <font>
        <color rgb="FF00B050"/>
      </font>
      <fill>
        <patternFill patternType="solid">
          <bgColor theme="0"/>
        </patternFill>
      </fill>
    </dxf>
    <dxf>
      <font>
        <color rgb="FFFF0000"/>
      </font>
      <fill>
        <patternFill patternType="solid">
          <bgColor theme="0"/>
        </patternFill>
      </fill>
    </dxf>
    <dxf>
      <font>
        <color rgb="FF00B0F0"/>
      </font>
      <fill>
        <patternFill patternType="solid">
          <bgColor theme="0"/>
        </patternFill>
      </fill>
    </dxf>
    <dxf>
      <font>
        <color rgb="FF00B050"/>
      </font>
      <fill>
        <patternFill patternType="solid">
          <bgColor theme="0"/>
        </patternFill>
      </fill>
    </dxf>
    <dxf>
      <font>
        <color rgb="FFFF0000"/>
      </font>
      <fill>
        <patternFill patternType="solid">
          <bgColor theme="0"/>
        </patternFill>
      </fill>
    </dxf>
    <dxf>
      <font>
        <color rgb="FF00B0F0"/>
      </font>
      <fill>
        <patternFill patternType="solid">
          <bgColor theme="0"/>
        </patternFill>
      </fill>
    </dxf>
    <dxf>
      <font>
        <color rgb="FF00B050"/>
      </font>
      <fill>
        <patternFill patternType="solid">
          <bgColor theme="0"/>
        </patternFill>
      </fill>
    </dxf>
    <dxf>
      <font>
        <color rgb="FF00B0F0"/>
      </font>
      <fill>
        <patternFill patternType="solid">
          <bgColor theme="0"/>
        </patternFill>
      </fill>
    </dxf>
    <dxf>
      <font>
        <color rgb="FF00B050"/>
      </font>
      <fill>
        <patternFill patternType="solid">
          <bgColor theme="0"/>
        </patternFill>
      </fill>
    </dxf>
    <dxf>
      <font>
        <color rgb="FFFF0000"/>
      </font>
      <fill>
        <patternFill patternType="solid">
          <bgColor theme="0"/>
        </patternFill>
      </fill>
    </dxf>
    <dxf>
      <font>
        <color rgb="FF00B0F0"/>
      </font>
      <fill>
        <patternFill patternType="solid">
          <bgColor theme="0"/>
        </patternFill>
      </fill>
    </dxf>
    <dxf>
      <font>
        <color rgb="FF00B050"/>
      </font>
      <fill>
        <patternFill patternType="solid">
          <bgColor theme="0"/>
        </patternFill>
      </fill>
    </dxf>
    <dxf>
      <font>
        <color rgb="FFFF0000"/>
      </font>
      <fill>
        <patternFill patternType="solid">
          <bgColor theme="0"/>
        </patternFill>
      </fill>
    </dxf>
    <dxf>
      <font>
        <color rgb="FF00B0F0"/>
      </font>
      <fill>
        <patternFill patternType="solid">
          <bgColor theme="0"/>
        </patternFill>
      </fill>
    </dxf>
    <dxf>
      <font>
        <color rgb="FF00B050"/>
      </font>
      <fill>
        <patternFill patternType="solid">
          <bgColor theme="0"/>
        </patternFill>
      </fill>
    </dxf>
    <dxf>
      <font>
        <color rgb="FF9C5700"/>
      </font>
      <fill>
        <patternFill patternType="solid">
          <fgColor rgb="FFFFEB9C"/>
          <bgColor rgb="FFFFEB9C"/>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9C5700"/>
      </font>
      <fill>
        <patternFill patternType="solid">
          <fgColor rgb="FFFFEB9C"/>
          <bgColor rgb="FFFFEB9C"/>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9C5700"/>
      </font>
      <fill>
        <patternFill patternType="solid">
          <fgColor rgb="FFFFEB9C"/>
          <bgColor rgb="FFFFEB9C"/>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5700"/>
      </font>
      <fill>
        <patternFill patternType="solid">
          <fgColor rgb="FFFFEB9C"/>
          <bgColor rgb="FFFFEB9C"/>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5700"/>
      </font>
      <fill>
        <patternFill patternType="solid">
          <fgColor rgb="FFFFEB9C"/>
          <bgColor rgb="FFFFEB9C"/>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9C5700"/>
      </font>
      <fill>
        <patternFill patternType="solid">
          <fgColor rgb="FFFFEB9C"/>
          <bgColor rgb="FFFFEB9C"/>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9C5700"/>
      </font>
      <fill>
        <patternFill patternType="solid">
          <fgColor rgb="FFFFEB9C"/>
          <bgColor rgb="FFFFEB9C"/>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9C5700"/>
      </font>
      <fill>
        <patternFill patternType="solid">
          <fgColor rgb="FFFFEB9C"/>
          <bgColor rgb="FFFFEB9C"/>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9C5700"/>
      </font>
      <fill>
        <patternFill patternType="solid">
          <fgColor rgb="FFFFEB9C"/>
          <bgColor rgb="FFFFEB9C"/>
        </patternFill>
      </fill>
    </dxf>
    <dxf>
      <font>
        <color rgb="FF006100"/>
      </font>
      <fill>
        <patternFill patternType="solid">
          <fgColor rgb="FFC6EFCE"/>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1.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Planificaci&#243;n/Rutinas%20a%20presentar%202026.xlsx" TargetMode="External"/><Relationship Id="rId2" Type="http://schemas.openxmlformats.org/officeDocument/2006/relationships/externalLinkPath" Target="https://d.docs.live.net/55B6A939D4276DB6/Informes%20GAVAKC%20por%20ciclo/CICLO%2025-26/Planificaci&#243;n/Rutinas%20a%20presentar%202026.xlsx" TargetMode="External"/><Relationship Id="rId1" Type="http://schemas.openxmlformats.org/officeDocument/2006/relationships/externalLinkPath" Target="/55B6A939D4276DB6/Informes%20GAVAKC%20por%20ciclo/CICLO%2025-26/Planificaci&#243;n/Rutinas%20a%20presentar%20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55B6A939D4276DB6" itemId="55B6A939D4276DB6!sa06c474a9b5c4578badd3b47d8d6967b">
      <xxl21:absoluteUrl r:id="rId2"/>
      <xxl21:relativeUrl r:id="rId3"/>
    </xxl21:alternateUrls>
    <sheetNames>
      <sheetName val="YERIK"/>
      <sheetName val="FER"/>
      <sheetName val="VELA"/>
      <sheetName val="ISAAC"/>
      <sheetName val="CHAMPI"/>
      <sheetName val="MIKEL"/>
      <sheetName val="ALONSO"/>
      <sheetName val="RICHIE"/>
      <sheetName val="DIEGO J"/>
      <sheetName val="Concentrado"/>
      <sheetName val="OBLIGATORIOS"/>
      <sheetName val="NP"/>
      <sheetName val="Dificultad"/>
      <sheetName val="GRUPOS"/>
      <sheetName val="BASEAPPRUTINAS"/>
    </sheetNames>
    <sheetDataSet>
      <sheetData sheetId="0"/>
      <sheetData sheetId="1"/>
      <sheetData sheetId="2"/>
      <sheetData sheetId="3"/>
      <sheetData sheetId="4"/>
      <sheetData sheetId="5"/>
      <sheetData sheetId="6"/>
      <sheetData sheetId="7"/>
      <sheetData sheetId="8"/>
      <sheetData sheetId="9"/>
      <sheetData sheetId="10"/>
      <sheetData sheetId="11">
        <row r="2">
          <cell r="A2" t="str">
            <v>DIEGO J</v>
          </cell>
          <cell r="B2">
            <v>15</v>
          </cell>
          <cell r="C2">
            <v>14.9</v>
          </cell>
          <cell r="D2">
            <v>14.6</v>
          </cell>
          <cell r="E2">
            <v>13.799999999999999</v>
          </cell>
          <cell r="F2">
            <v>14.5</v>
          </cell>
          <cell r="G2">
            <v>14.8</v>
          </cell>
          <cell r="H2">
            <v>78.8</v>
          </cell>
        </row>
        <row r="3">
          <cell r="A3" t="str">
            <v>RICHIE</v>
          </cell>
          <cell r="B3">
            <v>14.4</v>
          </cell>
          <cell r="C3">
            <v>13.799999999999999</v>
          </cell>
          <cell r="D3">
            <v>13.1</v>
          </cell>
          <cell r="E3">
            <v>13.6</v>
          </cell>
          <cell r="F3">
            <v>13.2</v>
          </cell>
          <cell r="G3">
            <v>13.5</v>
          </cell>
          <cell r="H3">
            <v>72.8</v>
          </cell>
        </row>
        <row r="4">
          <cell r="A4" t="str">
            <v>ALONSO</v>
          </cell>
          <cell r="B4">
            <v>14.3</v>
          </cell>
          <cell r="C4">
            <v>11.6</v>
          </cell>
          <cell r="D4">
            <v>12.9</v>
          </cell>
          <cell r="E4">
            <v>13.6</v>
          </cell>
          <cell r="F4">
            <v>13</v>
          </cell>
          <cell r="G4">
            <v>13</v>
          </cell>
          <cell r="H4">
            <v>69.599999999999994</v>
          </cell>
        </row>
        <row r="5">
          <cell r="A5" t="str">
            <v>MIKEL</v>
          </cell>
          <cell r="B5">
            <v>12.8</v>
          </cell>
          <cell r="C5">
            <v>12.1</v>
          </cell>
          <cell r="D5">
            <v>12.8</v>
          </cell>
          <cell r="E5">
            <v>12.8</v>
          </cell>
          <cell r="F5">
            <v>12.1</v>
          </cell>
          <cell r="G5">
            <v>12.4</v>
          </cell>
          <cell r="H5">
            <v>66.2</v>
          </cell>
        </row>
        <row r="6">
          <cell r="A6" t="str">
            <v>CHAMPI</v>
          </cell>
          <cell r="B6">
            <v>13.4</v>
          </cell>
          <cell r="C6">
            <v>11.799999999999999</v>
          </cell>
          <cell r="D6">
            <v>12.5</v>
          </cell>
          <cell r="E6">
            <v>11.8</v>
          </cell>
          <cell r="F6">
            <v>12.2</v>
          </cell>
          <cell r="G6">
            <v>13</v>
          </cell>
          <cell r="H6">
            <v>65.900000000000006</v>
          </cell>
        </row>
        <row r="7">
          <cell r="A7" t="str">
            <v>ISAAC</v>
          </cell>
          <cell r="B7">
            <v>12.5</v>
          </cell>
          <cell r="C7">
            <v>12.2</v>
          </cell>
          <cell r="D7">
            <v>12.9</v>
          </cell>
          <cell r="E7">
            <v>12</v>
          </cell>
          <cell r="F7">
            <v>12.2</v>
          </cell>
          <cell r="G7">
            <v>12.8</v>
          </cell>
          <cell r="H7">
            <v>65.8</v>
          </cell>
        </row>
        <row r="8">
          <cell r="A8" t="str">
            <v>VELA</v>
          </cell>
          <cell r="B8">
            <v>13.3</v>
          </cell>
          <cell r="C8">
            <v>13</v>
          </cell>
          <cell r="D8">
            <v>12.899999999999999</v>
          </cell>
          <cell r="E8">
            <v>12.4</v>
          </cell>
          <cell r="F8">
            <v>12.9</v>
          </cell>
          <cell r="G8">
            <v>12.8</v>
          </cell>
          <cell r="H8">
            <v>68.5</v>
          </cell>
        </row>
        <row r="9">
          <cell r="A9" t="str">
            <v>FER</v>
          </cell>
          <cell r="B9">
            <v>12.4</v>
          </cell>
          <cell r="C9">
            <v>12.3</v>
          </cell>
          <cell r="D9">
            <v>12.2</v>
          </cell>
          <cell r="E9">
            <v>12.2</v>
          </cell>
          <cell r="F9">
            <v>12.4</v>
          </cell>
          <cell r="G9">
            <v>12.2</v>
          </cell>
          <cell r="H9">
            <v>67.7</v>
          </cell>
        </row>
        <row r="10">
          <cell r="A10" t="str">
            <v>YERIK</v>
          </cell>
          <cell r="B10">
            <v>12.3</v>
          </cell>
          <cell r="C10">
            <v>12.1</v>
          </cell>
          <cell r="D10">
            <v>12.2</v>
          </cell>
          <cell r="E10">
            <v>12.4</v>
          </cell>
          <cell r="F10">
            <v>12.2</v>
          </cell>
          <cell r="G10">
            <v>12.1</v>
          </cell>
          <cell r="H10">
            <v>67.299999999999983</v>
          </cell>
        </row>
        <row r="11">
          <cell r="A11"/>
        </row>
      </sheetData>
      <sheetData sheetId="12"/>
      <sheetData sheetId="13"/>
      <sheetData sheetId="1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F36CEB-680A-DB4A-82AD-074D8B17A5F0}">
  <sheetPr>
    <pageSetUpPr fitToPage="1"/>
  </sheetPr>
  <dimension ref="A1:U61"/>
  <sheetViews>
    <sheetView tabSelected="1" zoomScale="125" zoomScaleNormal="80" zoomScaleSheetLayoutView="100" workbookViewId="0">
      <selection activeCell="F8" sqref="F8"/>
    </sheetView>
  </sheetViews>
  <sheetFormatPr defaultColWidth="8.85546875" defaultRowHeight="15"/>
  <cols>
    <col min="1" max="1" width="17.140625" bestFit="1" customWidth="1"/>
    <col min="20" max="20" width="4" customWidth="1"/>
  </cols>
  <sheetData>
    <row r="1" spans="1:21" ht="16.5">
      <c r="A1" s="50" t="s">
        <v>0</v>
      </c>
      <c r="B1" s="83"/>
      <c r="C1" s="83"/>
      <c r="D1" s="83"/>
      <c r="E1" s="47" t="s">
        <v>1</v>
      </c>
      <c r="F1" s="84"/>
      <c r="G1" s="47" t="s">
        <v>2</v>
      </c>
      <c r="H1" s="84"/>
      <c r="I1" s="47" t="s">
        <v>3</v>
      </c>
      <c r="J1" s="84"/>
      <c r="K1" s="47" t="s">
        <v>4</v>
      </c>
      <c r="L1" s="84"/>
      <c r="M1" s="47" t="s">
        <v>5</v>
      </c>
      <c r="N1" s="84"/>
      <c r="O1" s="47" t="s">
        <v>6</v>
      </c>
      <c r="P1" s="84"/>
      <c r="Q1" s="1" t="s">
        <v>7</v>
      </c>
      <c r="R1" s="49" t="s">
        <v>8</v>
      </c>
      <c r="S1" s="48" t="s">
        <v>9</v>
      </c>
      <c r="T1" s="46" t="s">
        <v>10</v>
      </c>
    </row>
    <row r="2" spans="1:21">
      <c r="A2" s="53" t="s">
        <v>11</v>
      </c>
      <c r="B2" s="54" t="s">
        <v>12</v>
      </c>
      <c r="C2" s="51" t="s">
        <v>13</v>
      </c>
      <c r="D2" s="52" t="s">
        <v>14</v>
      </c>
      <c r="E2" s="2" t="s">
        <v>15</v>
      </c>
      <c r="F2" s="3" t="s">
        <v>16</v>
      </c>
      <c r="G2" s="21" t="s">
        <v>15</v>
      </c>
      <c r="H2" s="22" t="s">
        <v>16</v>
      </c>
      <c r="I2" s="2" t="s">
        <v>15</v>
      </c>
      <c r="J2" s="3" t="s">
        <v>16</v>
      </c>
      <c r="K2" s="21" t="s">
        <v>15</v>
      </c>
      <c r="L2" s="22" t="s">
        <v>16</v>
      </c>
      <c r="M2" s="2" t="s">
        <v>15</v>
      </c>
      <c r="N2" s="3" t="s">
        <v>16</v>
      </c>
      <c r="O2" s="21" t="s">
        <v>15</v>
      </c>
      <c r="P2" s="22" t="s">
        <v>16</v>
      </c>
      <c r="Q2" s="55" t="s">
        <v>17</v>
      </c>
      <c r="R2" s="85"/>
      <c r="S2" s="85"/>
      <c r="T2" s="86"/>
    </row>
    <row r="3" spans="1:21">
      <c r="A3" s="87"/>
      <c r="B3" s="88"/>
      <c r="C3" s="88"/>
      <c r="D3" s="88"/>
      <c r="E3" s="4" t="s">
        <v>18</v>
      </c>
      <c r="F3" s="5" t="s">
        <v>19</v>
      </c>
      <c r="G3" s="6" t="s">
        <v>18</v>
      </c>
      <c r="H3" s="7" t="s">
        <v>19</v>
      </c>
      <c r="I3" s="4" t="s">
        <v>18</v>
      </c>
      <c r="J3" s="5" t="s">
        <v>19</v>
      </c>
      <c r="K3" s="6" t="s">
        <v>18</v>
      </c>
      <c r="L3" s="7" t="s">
        <v>19</v>
      </c>
      <c r="M3" s="4" t="s">
        <v>18</v>
      </c>
      <c r="N3" s="5" t="s">
        <v>19</v>
      </c>
      <c r="O3" s="6" t="s">
        <v>18</v>
      </c>
      <c r="P3" s="7" t="s">
        <v>19</v>
      </c>
      <c r="Q3" s="87"/>
      <c r="R3" s="89"/>
      <c r="S3" s="89"/>
      <c r="T3" s="86"/>
    </row>
    <row r="4" spans="1:21" ht="15.75" customHeight="1">
      <c r="A4" s="38" t="s">
        <v>20</v>
      </c>
      <c r="B4" s="39">
        <v>7</v>
      </c>
      <c r="C4" s="40">
        <v>72</v>
      </c>
      <c r="D4" s="41">
        <f>Q4-C4</f>
        <v>-7.0019999999999953</v>
      </c>
      <c r="E4" s="8">
        <v>12.3</v>
      </c>
      <c r="F4" s="9">
        <v>11.2</v>
      </c>
      <c r="G4" s="8">
        <v>12.1</v>
      </c>
      <c r="H4" s="9">
        <v>10.666</v>
      </c>
      <c r="I4" s="8">
        <v>12.2</v>
      </c>
      <c r="J4" s="9">
        <v>11.2</v>
      </c>
      <c r="K4" s="8">
        <v>12.4</v>
      </c>
      <c r="L4" s="9">
        <v>10.032999999999999</v>
      </c>
      <c r="M4" s="8">
        <v>12.2</v>
      </c>
      <c r="N4" s="10">
        <v>11.032999999999999</v>
      </c>
      <c r="O4" s="8">
        <v>12.1</v>
      </c>
      <c r="P4" s="9">
        <v>10.866</v>
      </c>
      <c r="Q4" s="42">
        <f>F4+H4+J4+L4+N4+P4</f>
        <v>64.998000000000005</v>
      </c>
      <c r="R4" s="45">
        <f>((F5+H5+J5+L5+N5+P5)/6)*0.01</f>
        <v>0.88692719838809919</v>
      </c>
      <c r="S4" s="43">
        <v>1</v>
      </c>
      <c r="T4" s="82" t="s">
        <v>21</v>
      </c>
      <c r="U4" s="31"/>
    </row>
    <row r="5" spans="1:21" ht="15.75" customHeight="1">
      <c r="A5" s="89"/>
      <c r="B5" s="89"/>
      <c r="C5" s="89"/>
      <c r="D5" s="89"/>
      <c r="E5" s="11">
        <f>E4-F4</f>
        <v>1.1000000000000014</v>
      </c>
      <c r="F5" s="12">
        <f>(Hoja2!J45/E4)*F4</f>
        <v>91.056910569105668</v>
      </c>
      <c r="G5" s="11">
        <f>G4-H4</f>
        <v>1.4339999999999993</v>
      </c>
      <c r="H5" s="12">
        <f>(Hoja2!K45/G4)*H4</f>
        <v>88.148760330578526</v>
      </c>
      <c r="I5" s="11">
        <f>I4-J4</f>
        <v>1</v>
      </c>
      <c r="J5" s="13">
        <f>(Hoja2!L45/I4)*J4</f>
        <v>91.8032786885246</v>
      </c>
      <c r="K5" s="11">
        <f>K4-L4</f>
        <v>2.3670000000000009</v>
      </c>
      <c r="L5" s="12">
        <f>(Hoja2!M45/K4)*L4</f>
        <v>80.911290322580641</v>
      </c>
      <c r="M5" s="11">
        <f>M4-N4</f>
        <v>1.1669999999999998</v>
      </c>
      <c r="N5" s="12">
        <f>(Hoja2!N45/M4)*N4</f>
        <v>90.434426229508205</v>
      </c>
      <c r="O5" s="11">
        <f>O4-P4</f>
        <v>1.234</v>
      </c>
      <c r="P5" s="12">
        <f>(Hoja2!O45/O4)*P4</f>
        <v>89.801652892561989</v>
      </c>
      <c r="Q5" s="89"/>
      <c r="R5" s="89"/>
      <c r="S5" s="90"/>
      <c r="T5" s="82"/>
      <c r="U5" s="31"/>
    </row>
    <row r="6" spans="1:21" ht="15.75" customHeight="1">
      <c r="A6" s="38" t="s">
        <v>22</v>
      </c>
      <c r="B6" s="58">
        <v>9</v>
      </c>
      <c r="C6" s="40">
        <v>70</v>
      </c>
      <c r="D6" s="41">
        <f>Q6-C6</f>
        <v>-6.6350000000000051</v>
      </c>
      <c r="E6" s="8">
        <v>12.8</v>
      </c>
      <c r="F6" s="9">
        <v>11.2</v>
      </c>
      <c r="G6" s="8">
        <v>11.9</v>
      </c>
      <c r="H6" s="9">
        <v>9.6999999999999993</v>
      </c>
      <c r="I6" s="8">
        <v>12.8</v>
      </c>
      <c r="J6" s="9">
        <v>10.733000000000001</v>
      </c>
      <c r="K6" s="8">
        <v>12.8</v>
      </c>
      <c r="L6" s="9">
        <v>11.132999999999999</v>
      </c>
      <c r="M6" s="8">
        <v>12.3</v>
      </c>
      <c r="N6" s="10">
        <v>9.9659999999999993</v>
      </c>
      <c r="O6" s="8">
        <v>12.3</v>
      </c>
      <c r="P6" s="9">
        <v>10.632999999999999</v>
      </c>
      <c r="Q6" s="42">
        <f>F6+H6+J6+L6+N6+P6</f>
        <v>63.364999999999995</v>
      </c>
      <c r="R6" s="45">
        <f>((F7+L7+N7+P7+H7+J7)/6)*0.01</f>
        <v>0.84434508436639122</v>
      </c>
      <c r="S6" s="43">
        <v>2</v>
      </c>
      <c r="T6" s="82"/>
      <c r="U6" s="31"/>
    </row>
    <row r="7" spans="1:21" ht="15.75" customHeight="1">
      <c r="A7" s="75"/>
      <c r="B7" s="76"/>
      <c r="C7" s="77"/>
      <c r="D7" s="78"/>
      <c r="E7" s="11">
        <f>E6-F6</f>
        <v>1.6000000000000014</v>
      </c>
      <c r="F7" s="12">
        <f>(Hoja2!J40/E6)*F6</f>
        <v>87.5</v>
      </c>
      <c r="G7" s="11">
        <f>G6-H6</f>
        <v>2.2000000000000011</v>
      </c>
      <c r="H7" s="12">
        <f>(Hoja2!K40/G6)*H6</f>
        <v>80.165289256198349</v>
      </c>
      <c r="I7" s="11">
        <f>I6-J6</f>
        <v>2.0670000000000002</v>
      </c>
      <c r="J7" s="12">
        <f>(Hoja2!L40/I6)*J6</f>
        <v>83.8515625</v>
      </c>
      <c r="K7" s="11">
        <f>K6-L6</f>
        <v>1.6670000000000016</v>
      </c>
      <c r="L7" s="12">
        <f>(Hoja2!M40/K6)*L6</f>
        <v>86.9765625</v>
      </c>
      <c r="M7" s="11">
        <f>M6-N6</f>
        <v>2.3340000000000014</v>
      </c>
      <c r="N7" s="12">
        <f>(Hoja2!N40/M6)*N6</f>
        <v>82.36363636363636</v>
      </c>
      <c r="O7" s="11">
        <f>O6-P6</f>
        <v>1.6670000000000016</v>
      </c>
      <c r="P7" s="12">
        <f>(Hoja2!O40/O6)*P6</f>
        <v>85.749999999999986</v>
      </c>
      <c r="Q7" s="79"/>
      <c r="R7" s="80"/>
      <c r="S7" s="90"/>
      <c r="T7" s="82"/>
      <c r="U7" s="31"/>
    </row>
    <row r="8" spans="1:21" ht="15.75" customHeight="1">
      <c r="A8" s="56" t="s">
        <v>23</v>
      </c>
      <c r="B8" s="57">
        <v>10</v>
      </c>
      <c r="C8" s="40">
        <v>72</v>
      </c>
      <c r="D8" s="41">
        <f>Q8-C8</f>
        <v>-3.402000000000001</v>
      </c>
      <c r="E8" s="8">
        <v>14.2</v>
      </c>
      <c r="F8" s="9">
        <v>11.933</v>
      </c>
      <c r="G8" s="8">
        <v>13.8</v>
      </c>
      <c r="H8" s="9">
        <v>11.233000000000001</v>
      </c>
      <c r="I8" s="8">
        <v>13.1</v>
      </c>
      <c r="J8" s="9">
        <v>11.366</v>
      </c>
      <c r="K8" s="8">
        <v>13.6</v>
      </c>
      <c r="L8" s="9">
        <v>10.933</v>
      </c>
      <c r="M8" s="8">
        <v>13.2</v>
      </c>
      <c r="N8" s="10">
        <v>11.1</v>
      </c>
      <c r="O8" s="8">
        <v>13.5</v>
      </c>
      <c r="P8" s="9">
        <v>12.032999999999999</v>
      </c>
      <c r="Q8" s="42">
        <f>F8+H8+J8+L8+N8+P8</f>
        <v>68.597999999999999</v>
      </c>
      <c r="R8" s="45">
        <f>((F9+H9+J9+L9+N9+P9)/6)*0.01</f>
        <v>0.84107318894235772</v>
      </c>
      <c r="S8" s="43">
        <v>3</v>
      </c>
      <c r="T8" s="82"/>
      <c r="U8" s="31"/>
    </row>
    <row r="9" spans="1:21" ht="15.75" customHeight="1">
      <c r="A9" s="89"/>
      <c r="B9" s="89"/>
      <c r="C9" s="89"/>
      <c r="D9" s="89"/>
      <c r="E9" s="11">
        <f>E8-F8</f>
        <v>2.2669999999999995</v>
      </c>
      <c r="F9" s="13">
        <f>(Hoja2!J38/E8)*F8</f>
        <v>82.868055555555557</v>
      </c>
      <c r="G9" s="11">
        <f>G8-H8</f>
        <v>2.5670000000000002</v>
      </c>
      <c r="H9" s="13">
        <f>(Hoja2!K38/G8)*H8</f>
        <v>81.398550724637701</v>
      </c>
      <c r="I9" s="11">
        <f>I8-J8</f>
        <v>1.734</v>
      </c>
      <c r="J9" s="13">
        <f>(Hoja2!L38/I8)*J8</f>
        <v>86.763358778625957</v>
      </c>
      <c r="K9" s="11">
        <f>K8-L8</f>
        <v>2.6669999999999998</v>
      </c>
      <c r="L9" s="12">
        <f>(Hoja2!M38/K8)*L8</f>
        <v>80.389705882352942</v>
      </c>
      <c r="M9" s="11">
        <f>M8-N8</f>
        <v>2.0999999999999996</v>
      </c>
      <c r="N9" s="12">
        <f>(Hoja2!N38/M8)*N8</f>
        <v>84.090909090909093</v>
      </c>
      <c r="O9" s="11">
        <f>O8-P8</f>
        <v>1.4670000000000005</v>
      </c>
      <c r="P9" s="12">
        <f>(Hoja2!O38/O8)*P8</f>
        <v>89.133333333333326</v>
      </c>
      <c r="Q9" s="89"/>
      <c r="R9" s="89"/>
      <c r="S9" s="90"/>
      <c r="T9" s="82"/>
      <c r="U9" s="31"/>
    </row>
    <row r="10" spans="1:21" ht="13.5" customHeight="1">
      <c r="A10" s="38" t="s">
        <v>24</v>
      </c>
      <c r="B10" s="44">
        <v>8</v>
      </c>
      <c r="C10" s="40">
        <v>72</v>
      </c>
      <c r="D10" s="41">
        <f>Q10-C10</f>
        <v>-7.0679999999999978</v>
      </c>
      <c r="E10" s="8">
        <v>13.3</v>
      </c>
      <c r="F10" s="9">
        <v>11.866</v>
      </c>
      <c r="G10" s="8">
        <v>12.6</v>
      </c>
      <c r="H10" s="9">
        <v>9.9</v>
      </c>
      <c r="I10" s="8">
        <v>12.8</v>
      </c>
      <c r="J10" s="9">
        <v>10.5</v>
      </c>
      <c r="K10" s="8">
        <v>12.4</v>
      </c>
      <c r="L10" s="9">
        <v>10.8</v>
      </c>
      <c r="M10" s="8">
        <v>13.2</v>
      </c>
      <c r="N10" s="10">
        <v>11</v>
      </c>
      <c r="O10" s="8">
        <v>12.7</v>
      </c>
      <c r="P10" s="9">
        <v>10.866</v>
      </c>
      <c r="Q10" s="42">
        <f>F10+H10+J10+L10+N10+P10</f>
        <v>64.932000000000002</v>
      </c>
      <c r="R10" s="45">
        <f>((F11+H11+J11+L11+N11+P11)/6)*0.01</f>
        <v>0.84004326187807199</v>
      </c>
      <c r="S10" s="43">
        <v>4</v>
      </c>
      <c r="T10" s="82"/>
      <c r="U10" s="31"/>
    </row>
    <row r="11" spans="1:21" ht="13.5" customHeight="1">
      <c r="A11" s="89"/>
      <c r="B11" s="89"/>
      <c r="C11" s="89"/>
      <c r="D11" s="89"/>
      <c r="E11" s="11">
        <f>E10-F10</f>
        <v>1.4340000000000011</v>
      </c>
      <c r="F11" s="12">
        <f>(Hoja2!J43/E10)*F10</f>
        <v>89.218045112781951</v>
      </c>
      <c r="G11" s="11">
        <f>G10-H10</f>
        <v>2.6999999999999993</v>
      </c>
      <c r="H11" s="12">
        <f>(Hoja2!K43/G10)*H10</f>
        <v>76.15384615384616</v>
      </c>
      <c r="I11" s="11">
        <f>I10-J10</f>
        <v>2.3000000000000007</v>
      </c>
      <c r="J11" s="13">
        <f>(Hoja2!L43/I10)*J10</f>
        <v>81.395348837209312</v>
      </c>
      <c r="K11" s="11">
        <f>K10-L10</f>
        <v>1.5999999999999996</v>
      </c>
      <c r="L11" s="12">
        <f>(Hoja2!M43/K10)*L10</f>
        <v>87.096774193548399</v>
      </c>
      <c r="M11" s="11">
        <f>M10-N10</f>
        <v>2.1999999999999993</v>
      </c>
      <c r="N11" s="12">
        <f>(Hoja2!N43/M10)*N10</f>
        <v>85.271317829457359</v>
      </c>
      <c r="O11" s="11">
        <f>O10-P10</f>
        <v>1.8339999999999996</v>
      </c>
      <c r="P11" s="12">
        <f>(Hoja2!O43/O10)*P10</f>
        <v>84.890625</v>
      </c>
      <c r="Q11" s="89"/>
      <c r="R11" s="89"/>
      <c r="S11" s="90"/>
      <c r="T11" s="82"/>
      <c r="U11" s="31"/>
    </row>
    <row r="12" spans="1:21" ht="15.75" customHeight="1">
      <c r="A12" s="56" t="s">
        <v>25</v>
      </c>
      <c r="B12" s="57">
        <v>10</v>
      </c>
      <c r="C12" s="40">
        <v>72</v>
      </c>
      <c r="D12" s="41">
        <f>Q12-C12</f>
        <v>-23.367999999999995</v>
      </c>
      <c r="E12" s="8">
        <v>0.1</v>
      </c>
      <c r="F12" s="9">
        <v>0</v>
      </c>
      <c r="G12" s="8">
        <v>14.6</v>
      </c>
      <c r="H12" s="9">
        <v>12.132999999999999</v>
      </c>
      <c r="I12" s="8">
        <v>14.5</v>
      </c>
      <c r="J12" s="9">
        <v>13.233000000000001</v>
      </c>
      <c r="K12" s="8">
        <v>0.1</v>
      </c>
      <c r="L12" s="9">
        <v>0</v>
      </c>
      <c r="M12" s="8">
        <v>14.5</v>
      </c>
      <c r="N12" s="10">
        <v>12.2</v>
      </c>
      <c r="O12" s="8">
        <v>14.1</v>
      </c>
      <c r="P12" s="9">
        <v>11.066000000000001</v>
      </c>
      <c r="Q12" s="42">
        <f>F12+H12+J12+L12+N12+P12</f>
        <v>48.632000000000005</v>
      </c>
      <c r="R12" s="45">
        <f>((F13+H13+J13+L13+N13+P13)/4)*0.01</f>
        <v>0.82743679451866292</v>
      </c>
      <c r="S12" s="43">
        <v>5</v>
      </c>
      <c r="T12" s="82"/>
      <c r="U12" s="31"/>
    </row>
    <row r="13" spans="1:21" ht="15.75" customHeight="1">
      <c r="A13" s="89"/>
      <c r="B13" s="89"/>
      <c r="C13" s="89"/>
      <c r="D13" s="89"/>
      <c r="E13" s="11">
        <f>E12-F12</f>
        <v>0.1</v>
      </c>
      <c r="F13" s="13">
        <f>(Hoja2!J37/E12)*F12</f>
        <v>0</v>
      </c>
      <c r="G13" s="11">
        <f>G12-H12</f>
        <v>2.4670000000000005</v>
      </c>
      <c r="H13" s="13">
        <f>(Hoja2!K37/G12)*H12</f>
        <v>81.429530201342274</v>
      </c>
      <c r="I13" s="11">
        <f>I12-J12</f>
        <v>1.2669999999999995</v>
      </c>
      <c r="J13" s="13">
        <f>(Hoja2!L37/I12)*J12</f>
        <v>90.636986301369859</v>
      </c>
      <c r="K13" s="11">
        <f>K12-L12</f>
        <v>0.1</v>
      </c>
      <c r="L13" s="13">
        <f>(Hoja2!M37/K12)*L12</f>
        <v>0</v>
      </c>
      <c r="M13" s="11">
        <f>M12-N12</f>
        <v>2.3000000000000007</v>
      </c>
      <c r="N13" s="13">
        <f>(Hoja2!N37/M12)*N12</f>
        <v>84.137931034482747</v>
      </c>
      <c r="O13" s="11">
        <f>O12-P12</f>
        <v>3.0339999999999989</v>
      </c>
      <c r="P13" s="13">
        <f>(Hoja2!O37/O12)*P12</f>
        <v>74.770270270270274</v>
      </c>
      <c r="Q13" s="89"/>
      <c r="R13" s="89"/>
      <c r="S13" s="90"/>
      <c r="T13" s="82"/>
      <c r="U13" s="31"/>
    </row>
    <row r="14" spans="1:21" ht="13.5" customHeight="1">
      <c r="A14" s="38" t="s">
        <v>26</v>
      </c>
      <c r="B14" s="58">
        <v>9</v>
      </c>
      <c r="C14" s="40">
        <v>70</v>
      </c>
      <c r="D14" s="41">
        <f>Q14-C14</f>
        <v>-8.8350000000000009</v>
      </c>
      <c r="E14" s="8">
        <v>12.4</v>
      </c>
      <c r="F14" s="9">
        <v>10.3</v>
      </c>
      <c r="G14" s="8">
        <v>12</v>
      </c>
      <c r="H14" s="9">
        <v>9.5660000000000007</v>
      </c>
      <c r="I14" s="8">
        <v>12.4</v>
      </c>
      <c r="J14" s="9">
        <v>10.666</v>
      </c>
      <c r="K14" s="8">
        <v>12</v>
      </c>
      <c r="L14" s="9">
        <v>10.3</v>
      </c>
      <c r="M14" s="8">
        <v>12.2</v>
      </c>
      <c r="N14" s="10">
        <v>10.9</v>
      </c>
      <c r="O14" s="8">
        <v>12.6</v>
      </c>
      <c r="P14" s="9">
        <v>9.4329999999999998</v>
      </c>
      <c r="Q14" s="42">
        <f>F14+H14+J14+L14+N14+P14</f>
        <v>61.164999999999999</v>
      </c>
      <c r="R14" s="45">
        <f>((F15+L15+N15+P15+H15+J15)/6)*0.01</f>
        <v>0.82060819122770812</v>
      </c>
      <c r="S14" s="43">
        <v>6</v>
      </c>
      <c r="T14" s="82"/>
      <c r="U14" s="31"/>
    </row>
    <row r="15" spans="1:21" ht="13.5" customHeight="1">
      <c r="A15" s="89"/>
      <c r="B15" s="89"/>
      <c r="C15" s="89"/>
      <c r="D15" s="89"/>
      <c r="E15" s="11">
        <f>E14-F14</f>
        <v>2.0999999999999996</v>
      </c>
      <c r="F15" s="12">
        <f>(Hoja2!J42/E14)*F14</f>
        <v>82.4</v>
      </c>
      <c r="G15" s="11">
        <f>G14-H14</f>
        <v>2.4339999999999993</v>
      </c>
      <c r="H15" s="12">
        <f>(Hoja2!K42/G14)*H14</f>
        <v>78.409836065573785</v>
      </c>
      <c r="I15" s="11">
        <f>I14-J14</f>
        <v>1.734</v>
      </c>
      <c r="J15" s="13">
        <f>(Hoja2!L42/I14)*J14</f>
        <v>82.68217054263566</v>
      </c>
      <c r="K15" s="11">
        <f>K14-L14</f>
        <v>1.6999999999999993</v>
      </c>
      <c r="L15" s="12">
        <f>(Hoja2!M42/K14)*L14</f>
        <v>85.833333333333343</v>
      </c>
      <c r="M15" s="11">
        <f>M14-N14</f>
        <v>1.2999999999999989</v>
      </c>
      <c r="N15" s="12">
        <f>(Hoja2!N42/M14)*N14</f>
        <v>89.344262295081975</v>
      </c>
      <c r="O15" s="11">
        <f>O14-P14</f>
        <v>3.1669999999999998</v>
      </c>
      <c r="P15" s="12">
        <f>(Hoja2!O42/O14)*P14</f>
        <v>73.6953125</v>
      </c>
      <c r="Q15" s="89"/>
      <c r="R15" s="89"/>
      <c r="S15" s="90"/>
      <c r="T15" s="82"/>
      <c r="U15" s="31"/>
    </row>
    <row r="16" spans="1:21" ht="15.75" customHeight="1">
      <c r="A16" s="38" t="s">
        <v>27</v>
      </c>
      <c r="B16" s="39">
        <v>7</v>
      </c>
      <c r="C16" s="40">
        <v>68</v>
      </c>
      <c r="D16" s="41">
        <f>Q16-C16</f>
        <v>-8.600999999999992</v>
      </c>
      <c r="E16" s="8">
        <v>12.3</v>
      </c>
      <c r="F16" s="9">
        <v>10.666</v>
      </c>
      <c r="G16" s="8">
        <v>12.1</v>
      </c>
      <c r="H16" s="9">
        <v>10.233000000000001</v>
      </c>
      <c r="I16" s="8">
        <v>12.2</v>
      </c>
      <c r="J16" s="9">
        <v>11.1</v>
      </c>
      <c r="K16" s="8">
        <v>12.2</v>
      </c>
      <c r="L16" s="9">
        <v>9</v>
      </c>
      <c r="M16" s="8">
        <v>12.3</v>
      </c>
      <c r="N16" s="10">
        <v>9.8000000000000007</v>
      </c>
      <c r="O16" s="8">
        <v>12.2</v>
      </c>
      <c r="P16" s="9">
        <v>8.6</v>
      </c>
      <c r="Q16" s="42">
        <f>F16+H16+J16+L16+N16+P16</f>
        <v>59.399000000000008</v>
      </c>
      <c r="R16" s="45">
        <f>((F17+L17+N17+P17+H17+J17)/6)*0.01</f>
        <v>0.80581568447889662</v>
      </c>
      <c r="S16" s="43">
        <v>7</v>
      </c>
      <c r="T16" s="82"/>
      <c r="U16" s="31"/>
    </row>
    <row r="17" spans="1:21" ht="15.75" customHeight="1">
      <c r="A17" s="89"/>
      <c r="B17" s="89"/>
      <c r="C17" s="89"/>
      <c r="D17" s="89"/>
      <c r="E17" s="11">
        <f>E16-F16</f>
        <v>1.6340000000000003</v>
      </c>
      <c r="F17" s="12">
        <f>(Hoja2!J44/E16)*F16</f>
        <v>86.016129032258064</v>
      </c>
      <c r="G17" s="11">
        <f>G16-H16</f>
        <v>1.8669999999999991</v>
      </c>
      <c r="H17" s="12">
        <f>(Hoja2!K44/G16)*H16</f>
        <v>83.195121951219505</v>
      </c>
      <c r="I17" s="11">
        <f>I16-J16</f>
        <v>1.0999999999999996</v>
      </c>
      <c r="J17" s="13">
        <f>(Hoja2!L44/I16)*J16</f>
        <v>90.983606557377058</v>
      </c>
      <c r="K17" s="11">
        <f>K16-L16</f>
        <v>3.1999999999999993</v>
      </c>
      <c r="L17" s="12">
        <f>(Hoja2!M44/K16)*L16</f>
        <v>73.770491803278702</v>
      </c>
      <c r="M17" s="11">
        <f>M16-N16</f>
        <v>2.5</v>
      </c>
      <c r="N17" s="12">
        <f>(Hoja2!N44/M16)*N16</f>
        <v>79.032258064516128</v>
      </c>
      <c r="O17" s="11">
        <f>O16-P16</f>
        <v>3.5999999999999996</v>
      </c>
      <c r="P17" s="12">
        <f>(Hoja2!O44/O16)*P16</f>
        <v>70.491803278688536</v>
      </c>
      <c r="Q17" s="89"/>
      <c r="R17" s="89"/>
      <c r="S17" s="90"/>
      <c r="T17" s="82"/>
      <c r="U17" s="31"/>
    </row>
    <row r="18" spans="1:21" ht="15.75" customHeight="1">
      <c r="A18" s="56" t="s">
        <v>28</v>
      </c>
      <c r="B18" s="57">
        <v>10</v>
      </c>
      <c r="C18" s="40">
        <v>72</v>
      </c>
      <c r="D18" s="41">
        <f>Q18-C18</f>
        <v>-10.835000000000001</v>
      </c>
      <c r="E18" s="8">
        <v>14.2</v>
      </c>
      <c r="F18" s="9">
        <v>11.7</v>
      </c>
      <c r="G18" s="8">
        <v>8.4</v>
      </c>
      <c r="H18" s="9">
        <v>5.4329999999999998</v>
      </c>
      <c r="I18" s="8">
        <v>12.5</v>
      </c>
      <c r="J18" s="9">
        <v>10.666</v>
      </c>
      <c r="K18" s="8">
        <v>13.6</v>
      </c>
      <c r="L18" s="9">
        <v>11.733000000000001</v>
      </c>
      <c r="M18" s="8">
        <v>13</v>
      </c>
      <c r="N18" s="10">
        <v>10.733000000000001</v>
      </c>
      <c r="O18" s="8">
        <v>13</v>
      </c>
      <c r="P18" s="9">
        <v>10.9</v>
      </c>
      <c r="Q18" s="42">
        <f>F18+H18+J18+L18+N18+P18</f>
        <v>61.164999999999999</v>
      </c>
      <c r="R18" s="45">
        <f>((F19+L19+J19+N19+P19+H19)/6)*0.01</f>
        <v>0.80234396203052161</v>
      </c>
      <c r="S18" s="43">
        <v>8</v>
      </c>
      <c r="T18" s="82"/>
      <c r="U18" s="31"/>
    </row>
    <row r="19" spans="1:21" ht="15.75" customHeight="1">
      <c r="A19" s="89"/>
      <c r="B19" s="89"/>
      <c r="C19" s="89"/>
      <c r="D19" s="89"/>
      <c r="E19" s="11">
        <f>E18-F18</f>
        <v>2.5</v>
      </c>
      <c r="F19" s="12">
        <f>(Hoja2!J39/E18)*F18</f>
        <v>81.818181818181813</v>
      </c>
      <c r="G19" s="11">
        <f>G18-H18</f>
        <v>2.9670000000000005</v>
      </c>
      <c r="H19" s="13">
        <f>(Hoja2!J39/G18)*H18</f>
        <v>64.226273726273718</v>
      </c>
      <c r="I19" s="11">
        <f>I18-J18</f>
        <v>1.8339999999999996</v>
      </c>
      <c r="J19" s="13">
        <f>(Hoja2!L39/I18)*J18</f>
        <v>82.68217054263566</v>
      </c>
      <c r="K19" s="11">
        <f>K18-L18</f>
        <v>1.8669999999999991</v>
      </c>
      <c r="L19" s="12">
        <f>(Hoja2!M39/K18)*L18</f>
        <v>86.27205882352942</v>
      </c>
      <c r="M19" s="11">
        <f>M18-N18</f>
        <v>2.2669999999999995</v>
      </c>
      <c r="N19" s="12">
        <f>(Hoja2!N39/M18)*N18</f>
        <v>82.561538461538461</v>
      </c>
      <c r="O19" s="11">
        <f>O18-P18</f>
        <v>2.0999999999999996</v>
      </c>
      <c r="P19" s="12">
        <f>(Hoja2!O39/O18)*P18</f>
        <v>83.846153846153854</v>
      </c>
      <c r="Q19" s="89"/>
      <c r="R19" s="89"/>
      <c r="S19" s="90"/>
      <c r="T19" s="82"/>
      <c r="U19" s="31"/>
    </row>
    <row r="20" spans="1:21" ht="15.75" hidden="1" customHeight="1">
      <c r="A20" s="38" t="s">
        <v>29</v>
      </c>
      <c r="B20" s="58">
        <v>9</v>
      </c>
      <c r="C20" s="40">
        <v>70</v>
      </c>
      <c r="D20" s="41">
        <f>Q20-C20</f>
        <v>-70</v>
      </c>
      <c r="E20" s="8">
        <v>0.1</v>
      </c>
      <c r="F20" s="9">
        <v>0</v>
      </c>
      <c r="G20" s="8">
        <v>0.1</v>
      </c>
      <c r="H20" s="9">
        <v>0</v>
      </c>
      <c r="I20" s="8">
        <v>0.1</v>
      </c>
      <c r="J20" s="9">
        <v>0</v>
      </c>
      <c r="K20" s="8">
        <v>0.1</v>
      </c>
      <c r="L20" s="9">
        <v>0</v>
      </c>
      <c r="M20" s="8">
        <v>0.1</v>
      </c>
      <c r="N20" s="10">
        <v>0</v>
      </c>
      <c r="O20" s="8">
        <v>0.1</v>
      </c>
      <c r="P20" s="9">
        <v>0</v>
      </c>
      <c r="Q20" s="42">
        <f>F20+H20+J20+L20+N20+P20</f>
        <v>0</v>
      </c>
      <c r="R20" s="45">
        <f>((F21+L21+N21+P21+J21+H21)/6)*0.01</f>
        <v>0</v>
      </c>
      <c r="S20" s="43"/>
      <c r="T20" s="33"/>
    </row>
    <row r="21" spans="1:21" ht="15.75" hidden="1" customHeight="1">
      <c r="A21" s="89"/>
      <c r="B21" s="89"/>
      <c r="C21" s="89"/>
      <c r="D21" s="89"/>
      <c r="E21" s="11">
        <f>E20-F20</f>
        <v>0.1</v>
      </c>
      <c r="F21" s="13">
        <f>(Hoja2!J42/E20)*F20</f>
        <v>0</v>
      </c>
      <c r="G21" s="11">
        <f>G20-H20</f>
        <v>0.1</v>
      </c>
      <c r="H21" s="13">
        <f>(Hoja2!K42/G20)*H20</f>
        <v>0</v>
      </c>
      <c r="I21" s="11">
        <f>I20-J20</f>
        <v>0.1</v>
      </c>
      <c r="J21" s="13">
        <f>(Hoja2!L42/I20)*J20</f>
        <v>0</v>
      </c>
      <c r="K21" s="11">
        <f>K20-L20</f>
        <v>0.1</v>
      </c>
      <c r="L21" s="12">
        <f>(Hoja2!M42/K20)*L20</f>
        <v>0</v>
      </c>
      <c r="M21" s="11">
        <f>M20-N20</f>
        <v>0.1</v>
      </c>
      <c r="N21" s="12">
        <f>(Hoja2!N42/M20)*N20</f>
        <v>0</v>
      </c>
      <c r="O21" s="11">
        <f>O20-P20</f>
        <v>0.1</v>
      </c>
      <c r="P21" s="12">
        <f>(Hoja2!O42/O20)*P20</f>
        <v>0</v>
      </c>
      <c r="Q21" s="89"/>
      <c r="R21" s="89"/>
      <c r="S21" s="90"/>
      <c r="T21" s="33"/>
    </row>
    <row r="22" spans="1:21" ht="8.25" customHeight="1">
      <c r="A22" s="60"/>
      <c r="B22" s="60"/>
      <c r="C22" s="60"/>
      <c r="D22" s="60"/>
      <c r="E22" s="60"/>
      <c r="F22" s="60"/>
      <c r="G22" s="60"/>
      <c r="H22" s="60"/>
      <c r="I22" s="60"/>
      <c r="J22" s="60"/>
      <c r="K22" s="60"/>
      <c r="L22" s="60"/>
      <c r="M22" s="60"/>
      <c r="N22" s="60"/>
      <c r="O22" s="60"/>
      <c r="P22" s="60"/>
      <c r="Q22" s="60"/>
      <c r="R22" s="60"/>
      <c r="S22" s="60"/>
      <c r="T22" s="61"/>
    </row>
    <row r="23" spans="1:21">
      <c r="A23" s="62" t="s">
        <v>30</v>
      </c>
      <c r="B23" s="63">
        <v>4</v>
      </c>
      <c r="C23" s="40">
        <v>54</v>
      </c>
      <c r="D23" s="41">
        <f>Q23-C23</f>
        <v>-0.50200000000000244</v>
      </c>
      <c r="E23" s="8">
        <v>10</v>
      </c>
      <c r="F23" s="9">
        <v>8.9659999999999993</v>
      </c>
      <c r="G23" s="8">
        <v>9.9</v>
      </c>
      <c r="H23" s="9">
        <v>8.8000000000000007</v>
      </c>
      <c r="I23" s="8">
        <v>10</v>
      </c>
      <c r="J23" s="9">
        <v>9.0660000000000007</v>
      </c>
      <c r="K23" s="8">
        <v>9.9</v>
      </c>
      <c r="L23" s="9">
        <v>8.7330000000000005</v>
      </c>
      <c r="M23" s="8">
        <v>9.9</v>
      </c>
      <c r="N23" s="10">
        <v>9.0329999999999995</v>
      </c>
      <c r="O23" s="8">
        <v>9.6999999999999993</v>
      </c>
      <c r="P23" s="9">
        <v>8.9</v>
      </c>
      <c r="Q23" s="42">
        <f>F23+H23+J23+L23+N23+P23</f>
        <v>53.497999999999998</v>
      </c>
      <c r="R23" s="45">
        <f>((F24+H24+J24+L24+N24+P24)/6)*0.01</f>
        <v>0.89163333333333339</v>
      </c>
      <c r="S23" s="43">
        <v>1</v>
      </c>
      <c r="T23" s="59" t="s">
        <v>31</v>
      </c>
    </row>
    <row r="24" spans="1:21">
      <c r="A24" s="91"/>
      <c r="B24" s="89"/>
      <c r="C24" s="89"/>
      <c r="D24" s="89"/>
      <c r="E24" s="11">
        <f>E23-F23</f>
        <v>1.0340000000000007</v>
      </c>
      <c r="F24" s="12">
        <f>((E23*10)/E23)*F23</f>
        <v>89.66</v>
      </c>
      <c r="G24" s="11">
        <f>G23-H23</f>
        <v>1.0999999999999996</v>
      </c>
      <c r="H24" s="12">
        <f>((G23*10)/G23)*H23</f>
        <v>88</v>
      </c>
      <c r="I24" s="11">
        <f>I23-J23</f>
        <v>0.93399999999999928</v>
      </c>
      <c r="J24" s="12">
        <f>((I23*10)/I23)*J23</f>
        <v>90.660000000000011</v>
      </c>
      <c r="K24" s="11">
        <f>K23-L23</f>
        <v>1.1669999999999998</v>
      </c>
      <c r="L24" s="12">
        <f>((K23*10)/K23)*L23</f>
        <v>87.330000000000013</v>
      </c>
      <c r="M24" s="11">
        <f>M23-N23</f>
        <v>0.86700000000000088</v>
      </c>
      <c r="N24" s="12">
        <f>((M23*10)/M23)*N23</f>
        <v>90.33</v>
      </c>
      <c r="O24" s="11">
        <f>O23-P23</f>
        <v>0.79999999999999893</v>
      </c>
      <c r="P24" s="12">
        <f>((O23*10)/O23)*P23</f>
        <v>89</v>
      </c>
      <c r="Q24" s="89"/>
      <c r="R24" s="89"/>
      <c r="S24" s="90"/>
      <c r="T24" s="59"/>
    </row>
    <row r="25" spans="1:21" ht="15.75" customHeight="1">
      <c r="A25" s="65" t="s">
        <v>32</v>
      </c>
      <c r="B25" s="63">
        <v>4</v>
      </c>
      <c r="C25" s="40">
        <v>54</v>
      </c>
      <c r="D25" s="41">
        <f>Q25-C25</f>
        <v>-1.2340000000000089</v>
      </c>
      <c r="E25" s="8">
        <v>9.6</v>
      </c>
      <c r="F25" s="9">
        <v>8.2330000000000005</v>
      </c>
      <c r="G25" s="8">
        <v>9.9</v>
      </c>
      <c r="H25" s="9">
        <v>8.9329999999999998</v>
      </c>
      <c r="I25" s="8">
        <v>10</v>
      </c>
      <c r="J25" s="9">
        <v>8.5329999999999995</v>
      </c>
      <c r="K25" s="8">
        <v>10</v>
      </c>
      <c r="L25" s="9">
        <v>9.3000000000000007</v>
      </c>
      <c r="M25" s="8">
        <v>9.6</v>
      </c>
      <c r="N25" s="10">
        <v>8.7669999999999995</v>
      </c>
      <c r="O25" s="8">
        <v>9.9</v>
      </c>
      <c r="P25" s="9">
        <v>9</v>
      </c>
      <c r="Q25" s="42">
        <f>F25+H25+J25+L25+N25+P25</f>
        <v>52.765999999999991</v>
      </c>
      <c r="R25" s="45">
        <f>((F26+H26+J26+L26+N26+P26)/6)*0.01</f>
        <v>0.87943333333333329</v>
      </c>
      <c r="S25" s="43">
        <v>2</v>
      </c>
      <c r="T25" s="59"/>
    </row>
    <row r="26" spans="1:21" ht="15.75" customHeight="1">
      <c r="A26" s="92"/>
      <c r="B26" s="89"/>
      <c r="C26" s="89"/>
      <c r="D26" s="89"/>
      <c r="E26" s="11">
        <f>E25-F25</f>
        <v>1.3669999999999991</v>
      </c>
      <c r="F26" s="12">
        <f>((E25*10)/E25)*F25</f>
        <v>82.330000000000013</v>
      </c>
      <c r="G26" s="11">
        <f>G25-H25</f>
        <v>0.96700000000000053</v>
      </c>
      <c r="H26" s="12">
        <f>((G25*10)/G25)*H25</f>
        <v>89.33</v>
      </c>
      <c r="I26" s="11">
        <f>I25-J25</f>
        <v>1.4670000000000005</v>
      </c>
      <c r="J26" s="12">
        <f>((I25*10)/I25)*J25</f>
        <v>85.33</v>
      </c>
      <c r="K26" s="11">
        <f>K25-L25</f>
        <v>0.69999999999999929</v>
      </c>
      <c r="L26" s="12">
        <f>((K25*10)/K25)*L25</f>
        <v>93</v>
      </c>
      <c r="M26" s="11">
        <f>M25-N25</f>
        <v>0.83300000000000018</v>
      </c>
      <c r="N26" s="12">
        <f>((M25*10)/M25)*N25</f>
        <v>87.669999999999987</v>
      </c>
      <c r="O26" s="11">
        <f>O25-P25</f>
        <v>0.90000000000000036</v>
      </c>
      <c r="P26" s="12">
        <f>((O25*10)/O25)*P25</f>
        <v>90</v>
      </c>
      <c r="Q26" s="89"/>
      <c r="R26" s="89"/>
      <c r="S26" s="90"/>
      <c r="T26" s="59"/>
    </row>
    <row r="27" spans="1:21" ht="15.75" customHeight="1">
      <c r="A27" s="62" t="s">
        <v>33</v>
      </c>
      <c r="B27" s="63">
        <v>4</v>
      </c>
      <c r="C27" s="40">
        <v>54</v>
      </c>
      <c r="D27" s="41">
        <f>Q27-C27</f>
        <v>-1.8680000000000021</v>
      </c>
      <c r="E27" s="8">
        <v>10</v>
      </c>
      <c r="F27" s="9">
        <v>8.9659999999999993</v>
      </c>
      <c r="G27" s="8">
        <v>9.6</v>
      </c>
      <c r="H27" s="9">
        <v>8.4</v>
      </c>
      <c r="I27" s="8">
        <v>10</v>
      </c>
      <c r="J27" s="9">
        <v>8.6660000000000004</v>
      </c>
      <c r="K27" s="8">
        <v>9.9</v>
      </c>
      <c r="L27" s="9">
        <v>8.8000000000000007</v>
      </c>
      <c r="M27" s="8">
        <v>10</v>
      </c>
      <c r="N27" s="10">
        <v>8.9</v>
      </c>
      <c r="O27" s="8">
        <v>9.6</v>
      </c>
      <c r="P27" s="9">
        <v>8.4</v>
      </c>
      <c r="Q27" s="42">
        <f>F27+H27+J27+L27+N27+P27</f>
        <v>52.131999999999998</v>
      </c>
      <c r="R27" s="45">
        <f>((F28+H28+J28+L28+N28+P28)/6)*0.01</f>
        <v>0.86886666666666656</v>
      </c>
      <c r="S27" s="43">
        <v>3</v>
      </c>
      <c r="T27" s="59"/>
    </row>
    <row r="28" spans="1:21" ht="15.75" customHeight="1">
      <c r="A28" s="91"/>
      <c r="B28" s="89"/>
      <c r="C28" s="89"/>
      <c r="D28" s="89"/>
      <c r="E28" s="11">
        <f>E27-F27</f>
        <v>1.0340000000000007</v>
      </c>
      <c r="F28" s="12">
        <f>((E27*10)/E27)*F27</f>
        <v>89.66</v>
      </c>
      <c r="G28" s="11">
        <f>G27-H27</f>
        <v>1.1999999999999993</v>
      </c>
      <c r="H28" s="12">
        <f>((G27*10)/G27)*H27</f>
        <v>84</v>
      </c>
      <c r="I28" s="11">
        <f>I27-J27</f>
        <v>1.3339999999999996</v>
      </c>
      <c r="J28" s="12">
        <f>((I27*10)/I27)*J27</f>
        <v>86.66</v>
      </c>
      <c r="K28" s="11">
        <f>K27-L27</f>
        <v>1.0999999999999996</v>
      </c>
      <c r="L28" s="12">
        <f>((K27*10)/K27)*L27</f>
        <v>88</v>
      </c>
      <c r="M28" s="11">
        <f>M27-N27</f>
        <v>1.0999999999999996</v>
      </c>
      <c r="N28" s="12">
        <f>((M27*10)/M27)*N27</f>
        <v>89</v>
      </c>
      <c r="O28" s="11">
        <f>O27-P27</f>
        <v>1.1999999999999993</v>
      </c>
      <c r="P28" s="12">
        <f>((O27*10)/O27)*P27</f>
        <v>84</v>
      </c>
      <c r="Q28" s="89"/>
      <c r="R28" s="89"/>
      <c r="S28" s="90"/>
      <c r="T28" s="59"/>
    </row>
    <row r="29" spans="1:21" ht="15.75" customHeight="1">
      <c r="A29" s="64" t="s">
        <v>34</v>
      </c>
      <c r="B29" s="63">
        <v>4</v>
      </c>
      <c r="C29" s="40">
        <v>54</v>
      </c>
      <c r="D29" s="41">
        <f>Q29-C29</f>
        <v>-2.1009999999999991</v>
      </c>
      <c r="E29" s="8">
        <v>9.9</v>
      </c>
      <c r="F29" s="9">
        <v>8.4659999999999993</v>
      </c>
      <c r="G29" s="8">
        <v>9.6</v>
      </c>
      <c r="H29" s="9">
        <v>8.3330000000000002</v>
      </c>
      <c r="I29" s="8">
        <v>9.9</v>
      </c>
      <c r="J29" s="9">
        <v>8.5660000000000007</v>
      </c>
      <c r="K29" s="8">
        <v>9.9</v>
      </c>
      <c r="L29" s="9">
        <v>8.9659999999999993</v>
      </c>
      <c r="M29" s="8">
        <v>9.9</v>
      </c>
      <c r="N29" s="10">
        <v>8.5340000000000007</v>
      </c>
      <c r="O29" s="8">
        <v>10</v>
      </c>
      <c r="P29" s="9">
        <v>9.0340000000000007</v>
      </c>
      <c r="Q29" s="42">
        <f>F29+H29+J29+L29+N29+P29</f>
        <v>51.899000000000001</v>
      </c>
      <c r="R29" s="45">
        <f>((F30+H30+J30+L30+N30+P30)/6)*0.01</f>
        <v>0.86498333333333355</v>
      </c>
      <c r="S29" s="43">
        <v>4</v>
      </c>
      <c r="T29" s="59"/>
    </row>
    <row r="30" spans="1:21" ht="15.75" customHeight="1">
      <c r="A30" s="93"/>
      <c r="B30" s="89"/>
      <c r="C30" s="89"/>
      <c r="D30" s="89"/>
      <c r="E30" s="11">
        <f>E29-F29</f>
        <v>1.4340000000000011</v>
      </c>
      <c r="F30" s="12">
        <f>((E29*10)/E29)*F29</f>
        <v>84.66</v>
      </c>
      <c r="G30" s="11">
        <f>G29-H29</f>
        <v>1.2669999999999995</v>
      </c>
      <c r="H30" s="12">
        <f>((G29*10)/G29)*H29</f>
        <v>83.33</v>
      </c>
      <c r="I30" s="11">
        <f>I29-J29</f>
        <v>1.3339999999999996</v>
      </c>
      <c r="J30" s="12">
        <f>((I29*10)/I29)*J29</f>
        <v>85.660000000000011</v>
      </c>
      <c r="K30" s="11">
        <f>K29-L29</f>
        <v>0.93400000000000105</v>
      </c>
      <c r="L30" s="12">
        <f>((K29*10)/K29)*L29</f>
        <v>89.66</v>
      </c>
      <c r="M30" s="11">
        <f>M29-N29</f>
        <v>1.3659999999999997</v>
      </c>
      <c r="N30" s="12">
        <f>((M29*10)/M29)*N29</f>
        <v>85.34</v>
      </c>
      <c r="O30" s="11">
        <f>O29-P29</f>
        <v>0.9659999999999993</v>
      </c>
      <c r="P30" s="12">
        <f>((O29*10)/O29)*P29</f>
        <v>90.34</v>
      </c>
      <c r="Q30" s="89"/>
      <c r="R30" s="89"/>
      <c r="S30" s="90"/>
      <c r="T30" s="59"/>
    </row>
    <row r="31" spans="1:21" ht="15.75" customHeight="1">
      <c r="A31" s="65" t="s">
        <v>35</v>
      </c>
      <c r="B31" s="63">
        <v>4</v>
      </c>
      <c r="C31" s="40">
        <v>54</v>
      </c>
      <c r="D31" s="41">
        <f>Q31-C31</f>
        <v>-2.8020000000000067</v>
      </c>
      <c r="E31" s="8">
        <v>9.6999999999999993</v>
      </c>
      <c r="F31" s="9">
        <v>8.4329999999999998</v>
      </c>
      <c r="G31" s="8">
        <v>9.6999999999999993</v>
      </c>
      <c r="H31" s="9">
        <v>8.4329999999999998</v>
      </c>
      <c r="I31" s="8">
        <v>9.6999999999999993</v>
      </c>
      <c r="J31" s="9">
        <v>8.3000000000000007</v>
      </c>
      <c r="K31" s="8">
        <v>9.9</v>
      </c>
      <c r="L31" s="9">
        <v>8.9659999999999993</v>
      </c>
      <c r="M31" s="8">
        <v>9.4</v>
      </c>
      <c r="N31" s="10">
        <v>8.266</v>
      </c>
      <c r="O31" s="8">
        <v>10</v>
      </c>
      <c r="P31" s="9">
        <v>8.8000000000000007</v>
      </c>
      <c r="Q31" s="42">
        <f>F31+H31+J31+L31+N31+P31</f>
        <v>51.197999999999993</v>
      </c>
      <c r="R31" s="45">
        <f>((F32+H32+J32+L32+N32+P32)/6)*0.01</f>
        <v>0.85329999999999995</v>
      </c>
      <c r="S31" s="43">
        <v>5</v>
      </c>
      <c r="T31" s="59"/>
    </row>
    <row r="32" spans="1:21" ht="15.75" customHeight="1">
      <c r="A32" s="92"/>
      <c r="B32" s="89"/>
      <c r="C32" s="89"/>
      <c r="D32" s="89"/>
      <c r="E32" s="11">
        <f>E31-F31</f>
        <v>1.2669999999999995</v>
      </c>
      <c r="F32" s="12">
        <f>((E31*10)/E31)*F31</f>
        <v>84.33</v>
      </c>
      <c r="G32" s="11">
        <f>G31-H31</f>
        <v>1.2669999999999995</v>
      </c>
      <c r="H32" s="12">
        <f>((G31*10)/G31)*H31</f>
        <v>84.33</v>
      </c>
      <c r="I32" s="11">
        <f>I31-J31</f>
        <v>1.3999999999999986</v>
      </c>
      <c r="J32" s="12">
        <f>((I31*10)/I31)*J31</f>
        <v>83</v>
      </c>
      <c r="K32" s="11">
        <f>K31-L31</f>
        <v>0.93400000000000105</v>
      </c>
      <c r="L32" s="12">
        <f>((K31*10)/K31)*L31</f>
        <v>89.66</v>
      </c>
      <c r="M32" s="11">
        <f>M31-N31</f>
        <v>1.1340000000000003</v>
      </c>
      <c r="N32" s="12">
        <f>((M31*10)/M31)*N31</f>
        <v>82.66</v>
      </c>
      <c r="O32" s="11">
        <f>O31-P31</f>
        <v>1.1999999999999993</v>
      </c>
      <c r="P32" s="12">
        <f>((O31*10)/O31)*P31</f>
        <v>88</v>
      </c>
      <c r="Q32" s="89"/>
      <c r="R32" s="89"/>
      <c r="S32" s="94"/>
      <c r="T32" s="59"/>
    </row>
    <row r="33" spans="1:20" ht="15" customHeight="1">
      <c r="A33" s="66" t="s">
        <v>36</v>
      </c>
      <c r="B33" s="63">
        <v>4</v>
      </c>
      <c r="C33" s="40">
        <v>54</v>
      </c>
      <c r="D33" s="41">
        <f>Q33-C33</f>
        <v>-3.0020000000000024</v>
      </c>
      <c r="E33" s="8">
        <v>9.3000000000000007</v>
      </c>
      <c r="F33" s="9">
        <v>7.8659999999999997</v>
      </c>
      <c r="G33" s="8">
        <v>10</v>
      </c>
      <c r="H33" s="9">
        <v>9.1999999999999993</v>
      </c>
      <c r="I33" s="8">
        <v>9.9</v>
      </c>
      <c r="J33" s="9">
        <v>8.6999999999999993</v>
      </c>
      <c r="K33" s="8">
        <v>9.9</v>
      </c>
      <c r="L33" s="9">
        <v>9.266</v>
      </c>
      <c r="M33" s="8">
        <v>9.4</v>
      </c>
      <c r="N33" s="10">
        <v>8.3659999999999997</v>
      </c>
      <c r="O33" s="8">
        <v>10</v>
      </c>
      <c r="P33" s="9">
        <v>7.6</v>
      </c>
      <c r="Q33" s="42">
        <f>F33+H33+J33+L33+N33+P33</f>
        <v>50.997999999999998</v>
      </c>
      <c r="R33" s="45">
        <f>((F34+H34+J34+L34+N34+P34)/6)*0.01</f>
        <v>0.84996666666666654</v>
      </c>
      <c r="S33" s="43">
        <v>6</v>
      </c>
      <c r="T33" s="59"/>
    </row>
    <row r="34" spans="1:20" ht="15" customHeight="1">
      <c r="A34" s="89"/>
      <c r="B34" s="89"/>
      <c r="C34" s="89"/>
      <c r="D34" s="89"/>
      <c r="E34" s="11">
        <f>E33-F33</f>
        <v>1.4340000000000011</v>
      </c>
      <c r="F34" s="12">
        <f>((E33*10)/E33)*F33</f>
        <v>78.66</v>
      </c>
      <c r="G34" s="11">
        <f>G33-H33</f>
        <v>0.80000000000000071</v>
      </c>
      <c r="H34" s="12">
        <f>((G33*10)/G33)*H33</f>
        <v>92</v>
      </c>
      <c r="I34" s="11">
        <f>I33-J33</f>
        <v>1.2000000000000011</v>
      </c>
      <c r="J34" s="12">
        <f>((I33*10)/I33)*J33</f>
        <v>87</v>
      </c>
      <c r="K34" s="11">
        <f>K33-L33</f>
        <v>0.63400000000000034</v>
      </c>
      <c r="L34" s="12">
        <f>((K33*10)/K33)*L33</f>
        <v>92.66</v>
      </c>
      <c r="M34" s="11">
        <f>M33-N33</f>
        <v>1.0340000000000007</v>
      </c>
      <c r="N34" s="12">
        <f>((M33*10)/M33)*N33</f>
        <v>83.66</v>
      </c>
      <c r="O34" s="11">
        <f>O33-P33</f>
        <v>2.4000000000000004</v>
      </c>
      <c r="P34" s="12">
        <f>((O33*10)/O33)*P33</f>
        <v>76</v>
      </c>
      <c r="Q34" s="89"/>
      <c r="R34" s="89"/>
      <c r="S34" s="90"/>
      <c r="T34" s="59"/>
    </row>
    <row r="35" spans="1:20" ht="15.75" customHeight="1">
      <c r="A35" s="62" t="s">
        <v>37</v>
      </c>
      <c r="B35" s="63">
        <v>4</v>
      </c>
      <c r="C35" s="40">
        <v>54</v>
      </c>
      <c r="D35" s="41">
        <f>Q35-C35</f>
        <v>-3.1009999999999991</v>
      </c>
      <c r="E35" s="8">
        <v>9.4</v>
      </c>
      <c r="F35" s="9">
        <v>7.8</v>
      </c>
      <c r="G35" s="8">
        <v>9.6</v>
      </c>
      <c r="H35" s="9">
        <v>8.6329999999999991</v>
      </c>
      <c r="I35" s="8">
        <v>9.6999999999999993</v>
      </c>
      <c r="J35" s="9">
        <v>8.4</v>
      </c>
      <c r="K35" s="8">
        <v>9.9</v>
      </c>
      <c r="L35" s="9">
        <v>8.5329999999999995</v>
      </c>
      <c r="M35" s="8">
        <v>9.6999999999999993</v>
      </c>
      <c r="N35" s="10">
        <v>8.8330000000000002</v>
      </c>
      <c r="O35" s="8">
        <v>9.9</v>
      </c>
      <c r="P35" s="9">
        <v>8.6999999999999993</v>
      </c>
      <c r="Q35" s="42">
        <f>F35+H35+J35+L35+N35+P35</f>
        <v>50.899000000000001</v>
      </c>
      <c r="R35" s="45">
        <f>((F36+H36+J36+L36+N36+P36)/6)*0.01</f>
        <v>0.84831666666666661</v>
      </c>
      <c r="S35" s="43">
        <v>7</v>
      </c>
      <c r="T35" s="59"/>
    </row>
    <row r="36" spans="1:20" ht="15.75" customHeight="1">
      <c r="A36" s="91"/>
      <c r="B36" s="89"/>
      <c r="C36" s="89"/>
      <c r="D36" s="89"/>
      <c r="E36" s="11">
        <f>E35-F35</f>
        <v>1.6000000000000005</v>
      </c>
      <c r="F36" s="12">
        <f>((E35*10)/E35)*F35</f>
        <v>78</v>
      </c>
      <c r="G36" s="11">
        <f>G35-H35</f>
        <v>0.96700000000000053</v>
      </c>
      <c r="H36" s="12">
        <f>((G35*10)/G35)*H35</f>
        <v>86.329999999999984</v>
      </c>
      <c r="I36" s="11">
        <f>I35-J35</f>
        <v>1.2999999999999989</v>
      </c>
      <c r="J36" s="12">
        <f>((I35*10)/I35)*J35</f>
        <v>84</v>
      </c>
      <c r="K36" s="11">
        <f>K35-L35</f>
        <v>1.3670000000000009</v>
      </c>
      <c r="L36" s="12">
        <f>((K35*10)/K35)*L35</f>
        <v>85.33</v>
      </c>
      <c r="M36" s="11">
        <f>M35-N35</f>
        <v>0.8669999999999991</v>
      </c>
      <c r="N36" s="12">
        <f>((M35*10)/M35)*N35</f>
        <v>88.33</v>
      </c>
      <c r="O36" s="11">
        <f>O35-P35</f>
        <v>1.2000000000000011</v>
      </c>
      <c r="P36" s="12">
        <f>((O35*10)/O35)*P35</f>
        <v>87</v>
      </c>
      <c r="Q36" s="89"/>
      <c r="R36" s="89"/>
      <c r="S36" s="90"/>
      <c r="T36" s="59"/>
    </row>
    <row r="37" spans="1:20" ht="15.75" customHeight="1">
      <c r="A37" s="66" t="s">
        <v>38</v>
      </c>
      <c r="B37" s="67">
        <v>5</v>
      </c>
      <c r="C37" s="40">
        <v>54</v>
      </c>
      <c r="D37" s="41">
        <f>Q37-C37</f>
        <v>-3.7710000000000008</v>
      </c>
      <c r="E37" s="8">
        <v>9.6</v>
      </c>
      <c r="F37" s="9">
        <v>7.4660000000000002</v>
      </c>
      <c r="G37" s="8">
        <v>10</v>
      </c>
      <c r="H37" s="9">
        <v>9.0660000000000007</v>
      </c>
      <c r="I37" s="8">
        <v>9.6</v>
      </c>
      <c r="J37" s="9">
        <v>8.3339999999999996</v>
      </c>
      <c r="K37" s="8">
        <v>9.9</v>
      </c>
      <c r="L37" s="9">
        <v>9.1300000000000008</v>
      </c>
      <c r="M37" s="8">
        <v>9.3000000000000007</v>
      </c>
      <c r="N37" s="10">
        <v>8.1999999999999993</v>
      </c>
      <c r="O37" s="8">
        <v>9.3000000000000007</v>
      </c>
      <c r="P37" s="9">
        <v>8.0329999999999995</v>
      </c>
      <c r="Q37" s="42">
        <f>F37+H37+J37+L37+N37+P37</f>
        <v>50.228999999999999</v>
      </c>
      <c r="R37" s="45">
        <f>((F38+H38+J38+L38+N38+P38)/6)*0.01</f>
        <v>0.83715000000000006</v>
      </c>
      <c r="S37" s="43">
        <v>8</v>
      </c>
      <c r="T37" s="59"/>
    </row>
    <row r="38" spans="1:20" ht="15.75" customHeight="1">
      <c r="A38" s="89"/>
      <c r="B38" s="89"/>
      <c r="C38" s="89"/>
      <c r="D38" s="89"/>
      <c r="E38" s="11">
        <f>E37-F37</f>
        <v>2.1339999999999995</v>
      </c>
      <c r="F38" s="12">
        <f>((E37*10)/E37)*F37</f>
        <v>74.66</v>
      </c>
      <c r="G38" s="11">
        <f>G37-H37</f>
        <v>0.93399999999999928</v>
      </c>
      <c r="H38" s="12">
        <f>((G37*10)/G37)*H37</f>
        <v>90.660000000000011</v>
      </c>
      <c r="I38" s="11">
        <f>I37-J37</f>
        <v>1.266</v>
      </c>
      <c r="J38" s="12">
        <f>((I37*10)/I37)*J37</f>
        <v>83.34</v>
      </c>
      <c r="K38" s="11">
        <f>K37-L37</f>
        <v>0.76999999999999957</v>
      </c>
      <c r="L38" s="12">
        <f>((K37*10)/K37)*L37</f>
        <v>91.300000000000011</v>
      </c>
      <c r="M38" s="11">
        <f>M37-N37</f>
        <v>1.1000000000000014</v>
      </c>
      <c r="N38" s="12">
        <f>((M37*10)/M37)*N37</f>
        <v>82</v>
      </c>
      <c r="O38" s="11">
        <f>O37-P37</f>
        <v>1.2670000000000012</v>
      </c>
      <c r="P38" s="12">
        <f>((O37*10)/O37)*P37</f>
        <v>80.33</v>
      </c>
      <c r="Q38" s="89"/>
      <c r="R38" s="89"/>
      <c r="S38" s="90"/>
      <c r="T38" s="59"/>
    </row>
    <row r="39" spans="1:20" ht="15.75" customHeight="1">
      <c r="A39" s="68" t="s">
        <v>39</v>
      </c>
      <c r="B39" s="63">
        <v>4</v>
      </c>
      <c r="C39" s="40">
        <v>54</v>
      </c>
      <c r="D39" s="41">
        <f>Q39-C39</f>
        <v>-3.8019999999999996</v>
      </c>
      <c r="E39" s="8">
        <v>9.9</v>
      </c>
      <c r="F39" s="9">
        <v>8.4659999999999993</v>
      </c>
      <c r="G39" s="8">
        <v>10</v>
      </c>
      <c r="H39" s="9">
        <v>8.6999999999999993</v>
      </c>
      <c r="I39" s="8">
        <v>10</v>
      </c>
      <c r="J39" s="9">
        <v>8.5660000000000007</v>
      </c>
      <c r="K39" s="8">
        <v>9.9</v>
      </c>
      <c r="L39" s="9">
        <v>8.5329999999999995</v>
      </c>
      <c r="M39" s="8">
        <v>9.3000000000000007</v>
      </c>
      <c r="N39" s="10">
        <v>8.0329999999999995</v>
      </c>
      <c r="O39" s="8">
        <v>9.6</v>
      </c>
      <c r="P39" s="9">
        <v>7.9</v>
      </c>
      <c r="Q39" s="42">
        <f>F39+H39+J39+L39+N39+P39</f>
        <v>50.198</v>
      </c>
      <c r="R39" s="45">
        <f>((F40+H40+J40+L40+N40+P40)/6)*0.01</f>
        <v>0.83663333333333334</v>
      </c>
      <c r="S39" s="43">
        <v>9</v>
      </c>
      <c r="T39" s="59"/>
    </row>
    <row r="40" spans="1:20" ht="15.75" customHeight="1">
      <c r="A40" s="91"/>
      <c r="B40" s="89"/>
      <c r="C40" s="89"/>
      <c r="D40" s="89"/>
      <c r="E40" s="11">
        <f>E39-F39</f>
        <v>1.4340000000000011</v>
      </c>
      <c r="F40" s="12">
        <f>((E39*10)/E39)*F39</f>
        <v>84.66</v>
      </c>
      <c r="G40" s="11">
        <f>G39-H39</f>
        <v>1.3000000000000007</v>
      </c>
      <c r="H40" s="12">
        <f>((G39*10)/G39)*H39</f>
        <v>87</v>
      </c>
      <c r="I40" s="11">
        <f>I39-J39</f>
        <v>1.4339999999999993</v>
      </c>
      <c r="J40" s="12">
        <f>((I39*10)/I39)*J39</f>
        <v>85.660000000000011</v>
      </c>
      <c r="K40" s="11">
        <f>K39-L39</f>
        <v>1.3670000000000009</v>
      </c>
      <c r="L40" s="12">
        <f>((K39*10)/K39)*L39</f>
        <v>85.33</v>
      </c>
      <c r="M40" s="11">
        <f>M39-N39</f>
        <v>1.2670000000000012</v>
      </c>
      <c r="N40" s="12">
        <f>((M39*10)/M39)*N39</f>
        <v>80.33</v>
      </c>
      <c r="O40" s="11">
        <f>O39-P39</f>
        <v>1.6999999999999993</v>
      </c>
      <c r="P40" s="12">
        <f>((O39*10)/O39)*P39</f>
        <v>79</v>
      </c>
      <c r="Q40" s="89"/>
      <c r="R40" s="89"/>
      <c r="S40" s="90"/>
      <c r="T40" s="59"/>
    </row>
    <row r="41" spans="1:20" ht="15.75" customHeight="1">
      <c r="A41" s="62" t="s">
        <v>40</v>
      </c>
      <c r="B41" s="63">
        <v>4</v>
      </c>
      <c r="C41" s="40">
        <v>54</v>
      </c>
      <c r="D41" s="41">
        <f>Q41-C41</f>
        <v>-4.5360000000000014</v>
      </c>
      <c r="E41" s="8">
        <v>9.6</v>
      </c>
      <c r="F41" s="9">
        <v>7.4</v>
      </c>
      <c r="G41" s="8">
        <v>9.6</v>
      </c>
      <c r="H41" s="9">
        <v>8.6329999999999991</v>
      </c>
      <c r="I41" s="8">
        <v>9.9</v>
      </c>
      <c r="J41" s="9">
        <v>8.3659999999999997</v>
      </c>
      <c r="K41" s="8">
        <v>9.9</v>
      </c>
      <c r="L41" s="9">
        <v>8.8330000000000002</v>
      </c>
      <c r="M41" s="8">
        <v>9.3000000000000007</v>
      </c>
      <c r="N41" s="10">
        <v>8.0660000000000007</v>
      </c>
      <c r="O41" s="8">
        <v>9.6</v>
      </c>
      <c r="P41" s="9">
        <v>8.1660000000000004</v>
      </c>
      <c r="Q41" s="42">
        <f>F41+H41+J41+L41+N41+P41</f>
        <v>49.463999999999999</v>
      </c>
      <c r="R41" s="45">
        <f>((F42+H42+J42+L42+N42+P42)/6)*0.01</f>
        <v>0.82440000000000002</v>
      </c>
      <c r="S41" s="43">
        <v>10</v>
      </c>
      <c r="T41" s="59"/>
    </row>
    <row r="42" spans="1:20" ht="15.75" customHeight="1">
      <c r="A42" s="91"/>
      <c r="B42" s="89"/>
      <c r="C42" s="89"/>
      <c r="D42" s="89"/>
      <c r="E42" s="11">
        <f>E41-F41</f>
        <v>2.1999999999999993</v>
      </c>
      <c r="F42" s="12">
        <f>((E41*10)/E41)*F41</f>
        <v>74</v>
      </c>
      <c r="G42" s="11">
        <f>G41-H41</f>
        <v>0.96700000000000053</v>
      </c>
      <c r="H42" s="12">
        <f>((G41*10)/G41)*H41</f>
        <v>86.329999999999984</v>
      </c>
      <c r="I42" s="11">
        <f>I41-J41</f>
        <v>1.5340000000000007</v>
      </c>
      <c r="J42" s="12">
        <f>((I41*10)/I41)*J41</f>
        <v>83.66</v>
      </c>
      <c r="K42" s="11">
        <f>K41-L41</f>
        <v>1.0670000000000002</v>
      </c>
      <c r="L42" s="12">
        <f>((K41*10)/K41)*L41</f>
        <v>88.33</v>
      </c>
      <c r="M42" s="11">
        <f>M41-N41</f>
        <v>1.234</v>
      </c>
      <c r="N42" s="12">
        <f>((M41*10)/M41)*N41</f>
        <v>80.660000000000011</v>
      </c>
      <c r="O42" s="11">
        <f>O41-P41</f>
        <v>1.4339999999999993</v>
      </c>
      <c r="P42" s="12">
        <f>((O41*10)/O41)*P41</f>
        <v>81.66</v>
      </c>
      <c r="Q42" s="89"/>
      <c r="R42" s="89"/>
      <c r="S42" s="90"/>
      <c r="T42" s="59"/>
    </row>
    <row r="43" spans="1:20" ht="15.75" customHeight="1">
      <c r="A43" s="65" t="s">
        <v>41</v>
      </c>
      <c r="B43" s="63">
        <v>4</v>
      </c>
      <c r="C43" s="40">
        <v>54</v>
      </c>
      <c r="D43" s="41">
        <f>Q43-C43</f>
        <v>-4.5670000000000073</v>
      </c>
      <c r="E43" s="8">
        <v>9.4</v>
      </c>
      <c r="F43" s="9">
        <v>7.766</v>
      </c>
      <c r="G43" s="8">
        <v>9.6999999999999993</v>
      </c>
      <c r="H43" s="9">
        <v>8.6</v>
      </c>
      <c r="I43" s="8">
        <v>10</v>
      </c>
      <c r="J43" s="9">
        <v>7.867</v>
      </c>
      <c r="K43" s="8">
        <v>9.9</v>
      </c>
      <c r="L43" s="9">
        <v>8.6</v>
      </c>
      <c r="M43" s="8">
        <v>9.1</v>
      </c>
      <c r="N43" s="10">
        <v>7.9340000000000002</v>
      </c>
      <c r="O43" s="8">
        <v>10</v>
      </c>
      <c r="P43" s="9">
        <v>8.6660000000000004</v>
      </c>
      <c r="Q43" s="42">
        <f>F43+H43+J43+L43+N43+P43</f>
        <v>49.432999999999993</v>
      </c>
      <c r="R43" s="45">
        <f>((F44+H44+J44+L44+N44+P44)/6)*0.01</f>
        <v>0.82388333333333319</v>
      </c>
      <c r="S43" s="43">
        <v>11</v>
      </c>
      <c r="T43" s="59"/>
    </row>
    <row r="44" spans="1:20" ht="15.75" customHeight="1">
      <c r="A44" s="92"/>
      <c r="B44" s="89"/>
      <c r="C44" s="89"/>
      <c r="D44" s="89"/>
      <c r="E44" s="11">
        <f>E43-F43</f>
        <v>1.6340000000000003</v>
      </c>
      <c r="F44" s="12">
        <f>((E43*10)/E43)*F43</f>
        <v>77.66</v>
      </c>
      <c r="G44" s="11">
        <f>G43-H43</f>
        <v>1.0999999999999996</v>
      </c>
      <c r="H44" s="12">
        <f>((G43*10)/G43)*H43</f>
        <v>86</v>
      </c>
      <c r="I44" s="11">
        <f>I43-J43</f>
        <v>2.133</v>
      </c>
      <c r="J44" s="12">
        <f>((I43*10)/I43)*J43</f>
        <v>78.67</v>
      </c>
      <c r="K44" s="11">
        <f>K43-L43</f>
        <v>1.3000000000000007</v>
      </c>
      <c r="L44" s="12">
        <f>((K43*10)/K43)*L43</f>
        <v>86</v>
      </c>
      <c r="M44" s="11">
        <f>M43-N43</f>
        <v>1.1659999999999995</v>
      </c>
      <c r="N44" s="12">
        <f>((M43*10)/M43)*N43</f>
        <v>79.34</v>
      </c>
      <c r="O44" s="11">
        <f>O43-P43</f>
        <v>1.3339999999999996</v>
      </c>
      <c r="P44" s="12">
        <f>((O43*10)/O43)*P43</f>
        <v>86.66</v>
      </c>
      <c r="Q44" s="89"/>
      <c r="R44" s="89"/>
      <c r="S44" s="90"/>
      <c r="T44" s="59"/>
    </row>
    <row r="45" spans="1:20" ht="15" customHeight="1">
      <c r="A45" s="66" t="s">
        <v>42</v>
      </c>
      <c r="B45" s="67">
        <v>5</v>
      </c>
      <c r="C45" s="40">
        <v>54</v>
      </c>
      <c r="D45" s="41">
        <f>Q45-C45</f>
        <v>-4.8010000000000019</v>
      </c>
      <c r="E45" s="8">
        <v>10</v>
      </c>
      <c r="F45" s="9">
        <v>7.8659999999999997</v>
      </c>
      <c r="G45" s="8">
        <v>10</v>
      </c>
      <c r="H45" s="9">
        <v>8.8659999999999997</v>
      </c>
      <c r="I45" s="8">
        <v>9.9</v>
      </c>
      <c r="J45" s="9">
        <v>8.0340000000000007</v>
      </c>
      <c r="K45" s="8">
        <v>9.9</v>
      </c>
      <c r="L45" s="9">
        <v>8.0329999999999995</v>
      </c>
      <c r="M45" s="8">
        <v>9.9</v>
      </c>
      <c r="N45" s="10">
        <v>8.9</v>
      </c>
      <c r="O45" s="8">
        <v>9.9</v>
      </c>
      <c r="P45" s="9">
        <v>7.5</v>
      </c>
      <c r="Q45" s="42">
        <f>F45+H45+J45+L45+N45+P45</f>
        <v>49.198999999999998</v>
      </c>
      <c r="R45" s="45">
        <f>((F46+H46+J46+L46+N46+P46)/6)*0.01</f>
        <v>0.8199833333333334</v>
      </c>
      <c r="S45" s="43">
        <v>12</v>
      </c>
      <c r="T45" s="59"/>
    </row>
    <row r="46" spans="1:20" ht="15" customHeight="1">
      <c r="A46" s="89"/>
      <c r="B46" s="89"/>
      <c r="C46" s="89"/>
      <c r="D46" s="89"/>
      <c r="E46" s="11">
        <f>E45-F45</f>
        <v>2.1340000000000003</v>
      </c>
      <c r="F46" s="12">
        <f>((E45*10)/E45)*F45</f>
        <v>78.66</v>
      </c>
      <c r="G46" s="11">
        <f>G45-H45</f>
        <v>1.1340000000000003</v>
      </c>
      <c r="H46" s="12">
        <f>((G45*10)/G45)*H45</f>
        <v>88.66</v>
      </c>
      <c r="I46" s="11">
        <f>I45-J45</f>
        <v>1.8659999999999997</v>
      </c>
      <c r="J46" s="12">
        <f>((I45*10)/I45)*J45</f>
        <v>80.34</v>
      </c>
      <c r="K46" s="11">
        <f>K45-L45</f>
        <v>1.8670000000000009</v>
      </c>
      <c r="L46" s="12">
        <f>((K45*10)/K45)*L45</f>
        <v>80.33</v>
      </c>
      <c r="M46" s="11">
        <f>M45-N45</f>
        <v>1</v>
      </c>
      <c r="N46" s="12">
        <f>((M45*10)/M45)*N45</f>
        <v>89</v>
      </c>
      <c r="O46" s="11">
        <f>O45-P45</f>
        <v>2.4000000000000004</v>
      </c>
      <c r="P46" s="12">
        <f>((O45*10)/O45)*P45</f>
        <v>75</v>
      </c>
      <c r="Q46" s="89"/>
      <c r="R46" s="89"/>
      <c r="S46" s="90"/>
      <c r="T46" s="59"/>
    </row>
    <row r="47" spans="1:20" ht="15.75" customHeight="1">
      <c r="A47" s="68" t="s">
        <v>43</v>
      </c>
      <c r="B47" s="63">
        <v>4</v>
      </c>
      <c r="C47" s="40">
        <v>54</v>
      </c>
      <c r="D47" s="41">
        <f>Q47-C47</f>
        <v>-5.6689999999999969</v>
      </c>
      <c r="E47" s="8">
        <v>9.3000000000000007</v>
      </c>
      <c r="F47" s="9">
        <v>7.5330000000000004</v>
      </c>
      <c r="G47" s="8">
        <v>9.6</v>
      </c>
      <c r="H47" s="9">
        <v>8.0660000000000007</v>
      </c>
      <c r="I47" s="8">
        <v>9.6</v>
      </c>
      <c r="J47" s="9">
        <v>8.1329999999999991</v>
      </c>
      <c r="K47" s="8">
        <v>9.9</v>
      </c>
      <c r="L47" s="9">
        <v>8.7330000000000005</v>
      </c>
      <c r="M47" s="8">
        <v>9.3000000000000007</v>
      </c>
      <c r="N47" s="10">
        <v>7.7329999999999997</v>
      </c>
      <c r="O47" s="8">
        <v>9.6</v>
      </c>
      <c r="P47" s="9">
        <v>8.1329999999999991</v>
      </c>
      <c r="Q47" s="42">
        <f>F47+H47+J47+L47+N47+P47</f>
        <v>48.331000000000003</v>
      </c>
      <c r="R47" s="45">
        <f>((F48+H48+J48+L48+N48+P48)/6)*0.01</f>
        <v>0.80551666666666666</v>
      </c>
      <c r="S47" s="43">
        <v>13</v>
      </c>
      <c r="T47" s="59"/>
    </row>
    <row r="48" spans="1:20" ht="15.75" customHeight="1">
      <c r="A48" s="91"/>
      <c r="B48" s="89"/>
      <c r="C48" s="89"/>
      <c r="D48" s="89"/>
      <c r="E48" s="11">
        <f>E47-F47</f>
        <v>1.7670000000000003</v>
      </c>
      <c r="F48" s="12">
        <f>((E47*10)/E47)*F47</f>
        <v>75.33</v>
      </c>
      <c r="G48" s="11">
        <f>G47-H47</f>
        <v>1.5339999999999989</v>
      </c>
      <c r="H48" s="12">
        <f>((G47*10)/G47)*H47</f>
        <v>80.660000000000011</v>
      </c>
      <c r="I48" s="11">
        <f>I47-J47</f>
        <v>1.4670000000000005</v>
      </c>
      <c r="J48" s="12">
        <f>((I47*10)/I47)*J47</f>
        <v>81.329999999999984</v>
      </c>
      <c r="K48" s="11">
        <f>K47-L47</f>
        <v>1.1669999999999998</v>
      </c>
      <c r="L48" s="12">
        <f>((K47*10)/K47)*L47</f>
        <v>87.330000000000013</v>
      </c>
      <c r="M48" s="11">
        <f>M47-N47</f>
        <v>1.5670000000000011</v>
      </c>
      <c r="N48" s="12">
        <f>((M47*10)/M47)*N47</f>
        <v>77.33</v>
      </c>
      <c r="O48" s="11">
        <f>O47-P47</f>
        <v>1.4670000000000005</v>
      </c>
      <c r="P48" s="12">
        <f>((O47*10)/O47)*P47</f>
        <v>81.329999999999984</v>
      </c>
      <c r="Q48" s="89"/>
      <c r="R48" s="89"/>
      <c r="S48" s="90"/>
      <c r="T48" s="59"/>
    </row>
    <row r="49" spans="1:20" ht="15.75" customHeight="1">
      <c r="A49" s="66" t="s">
        <v>44</v>
      </c>
      <c r="B49" s="67">
        <v>5</v>
      </c>
      <c r="C49" s="40">
        <v>54</v>
      </c>
      <c r="D49" s="41">
        <f>Q49-C49</f>
        <v>-7.6019999999999968</v>
      </c>
      <c r="E49" s="8">
        <v>9.3000000000000007</v>
      </c>
      <c r="F49" s="9">
        <v>7.8</v>
      </c>
      <c r="G49" s="8">
        <v>9.3000000000000007</v>
      </c>
      <c r="H49" s="9">
        <v>7.6660000000000004</v>
      </c>
      <c r="I49" s="8">
        <v>9.6</v>
      </c>
      <c r="J49" s="9">
        <v>7.5</v>
      </c>
      <c r="K49" s="8">
        <v>9.9</v>
      </c>
      <c r="L49" s="9">
        <v>8.266</v>
      </c>
      <c r="M49" s="8">
        <v>9.3000000000000007</v>
      </c>
      <c r="N49" s="10">
        <v>8.0660000000000007</v>
      </c>
      <c r="O49" s="8">
        <v>9</v>
      </c>
      <c r="P49" s="9">
        <v>7.1</v>
      </c>
      <c r="Q49" s="42">
        <f>F49+H49+J49+L49+N49+P49</f>
        <v>46.398000000000003</v>
      </c>
      <c r="R49" s="45">
        <f>((F50+H50+J50+L50+N50+P50)/6)*0.01</f>
        <v>0.77329999999999999</v>
      </c>
      <c r="S49" s="43">
        <v>14</v>
      </c>
      <c r="T49" s="59"/>
    </row>
    <row r="50" spans="1:20" ht="15.75" customHeight="1">
      <c r="A50" s="89"/>
      <c r="B50" s="89"/>
      <c r="C50" s="89"/>
      <c r="D50" s="89"/>
      <c r="E50" s="11">
        <f>E49-F49</f>
        <v>1.5000000000000009</v>
      </c>
      <c r="F50" s="12">
        <f>((E49*10)/E49)*F49</f>
        <v>78</v>
      </c>
      <c r="G50" s="11">
        <f>G49-H49</f>
        <v>1.6340000000000003</v>
      </c>
      <c r="H50" s="12">
        <f>((G49*10)/G49)*H49</f>
        <v>76.66</v>
      </c>
      <c r="I50" s="11">
        <f>I49-J49</f>
        <v>2.0999999999999996</v>
      </c>
      <c r="J50" s="12">
        <f>((I49*10)/I49)*J49</f>
        <v>75</v>
      </c>
      <c r="K50" s="11">
        <f>K49-L49</f>
        <v>1.6340000000000003</v>
      </c>
      <c r="L50" s="12">
        <f>((K49*10)/K49)*L49</f>
        <v>82.66</v>
      </c>
      <c r="M50" s="11">
        <f>M49-N49</f>
        <v>1.234</v>
      </c>
      <c r="N50" s="12">
        <f>((M49*10)/M49)*N49</f>
        <v>80.660000000000011</v>
      </c>
      <c r="O50" s="11">
        <f>O49-P49</f>
        <v>1.9000000000000004</v>
      </c>
      <c r="P50" s="12">
        <f>((O49*10)/O49)*P49</f>
        <v>71</v>
      </c>
      <c r="Q50" s="89"/>
      <c r="R50" s="89"/>
      <c r="S50" s="90"/>
      <c r="T50" s="59"/>
    </row>
    <row r="51" spans="1:20" ht="15" customHeight="1">
      <c r="A51" s="66" t="s">
        <v>45</v>
      </c>
      <c r="B51" s="70">
        <v>6</v>
      </c>
      <c r="C51" s="40">
        <v>54</v>
      </c>
      <c r="D51" s="41">
        <f>Q51-C51</f>
        <v>-7.8430000000000035</v>
      </c>
      <c r="E51" s="8">
        <v>9</v>
      </c>
      <c r="F51" s="9">
        <v>6.8339999999999996</v>
      </c>
      <c r="G51" s="8">
        <v>9.6999999999999993</v>
      </c>
      <c r="H51" s="9">
        <v>8.6</v>
      </c>
      <c r="I51" s="8">
        <v>9.6</v>
      </c>
      <c r="J51" s="9">
        <v>7.95</v>
      </c>
      <c r="K51" s="8">
        <v>9.6</v>
      </c>
      <c r="L51" s="9">
        <v>8.64</v>
      </c>
      <c r="M51" s="8">
        <v>9.6</v>
      </c>
      <c r="N51" s="10">
        <v>7.4</v>
      </c>
      <c r="O51" s="8">
        <v>9.3000000000000007</v>
      </c>
      <c r="P51" s="9">
        <v>6.7329999999999997</v>
      </c>
      <c r="Q51" s="42">
        <f>F51+H51+J51+L51+N51+P51</f>
        <v>46.156999999999996</v>
      </c>
      <c r="R51" s="45">
        <f>((F52+H52+J52+L52+N52+P52)/6)*0.01</f>
        <v>0.76928333333333332</v>
      </c>
      <c r="S51" s="43">
        <v>15</v>
      </c>
      <c r="T51" s="59"/>
    </row>
    <row r="52" spans="1:20" ht="15" customHeight="1">
      <c r="A52" s="89"/>
      <c r="B52" s="95"/>
      <c r="C52" s="89"/>
      <c r="D52" s="89"/>
      <c r="E52" s="11">
        <f>E51-F51</f>
        <v>2.1660000000000004</v>
      </c>
      <c r="F52" s="12">
        <f>((E51*10)/E51)*F51</f>
        <v>68.34</v>
      </c>
      <c r="G52" s="11">
        <f>G51-H51</f>
        <v>1.0999999999999996</v>
      </c>
      <c r="H52" s="12">
        <f>((G51*10)/G51)*H51</f>
        <v>86</v>
      </c>
      <c r="I52" s="11">
        <f>I51-J51</f>
        <v>1.6499999999999995</v>
      </c>
      <c r="J52" s="12">
        <f>((I51*10)/I51)*J51</f>
        <v>79.5</v>
      </c>
      <c r="K52" s="11">
        <f>K51-L51</f>
        <v>0.95999999999999908</v>
      </c>
      <c r="L52" s="12">
        <f>((K51*10)/K51)*L51</f>
        <v>86.4</v>
      </c>
      <c r="M52" s="11">
        <f>M51-N51</f>
        <v>2.1999999999999993</v>
      </c>
      <c r="N52" s="12">
        <f>((M51*10)/M51)*N51</f>
        <v>74</v>
      </c>
      <c r="O52" s="11">
        <f>O51-P51</f>
        <v>2.5670000000000011</v>
      </c>
      <c r="P52" s="12">
        <f>((O51*10)/O51)*P51</f>
        <v>67.33</v>
      </c>
      <c r="Q52" s="89"/>
      <c r="R52" s="89"/>
      <c r="S52" s="90"/>
      <c r="T52" s="59"/>
    </row>
    <row r="53" spans="1:20" ht="15" customHeight="1">
      <c r="A53" s="66" t="s">
        <v>46</v>
      </c>
      <c r="B53" s="70">
        <v>6</v>
      </c>
      <c r="C53" s="40">
        <v>54</v>
      </c>
      <c r="D53" s="41">
        <f>Q53-C53</f>
        <v>-10.928000000000004</v>
      </c>
      <c r="E53" s="8">
        <v>9.9</v>
      </c>
      <c r="F53" s="9">
        <v>7.44</v>
      </c>
      <c r="G53" s="8">
        <v>9</v>
      </c>
      <c r="H53" s="9">
        <v>6.1660000000000004</v>
      </c>
      <c r="I53" s="8">
        <v>9.3000000000000007</v>
      </c>
      <c r="J53" s="9">
        <v>7.5</v>
      </c>
      <c r="K53" s="8">
        <v>9.9</v>
      </c>
      <c r="L53" s="9">
        <v>8.6999999999999993</v>
      </c>
      <c r="M53" s="8">
        <v>9.9</v>
      </c>
      <c r="N53" s="10">
        <v>6.8659999999999997</v>
      </c>
      <c r="O53" s="8">
        <v>9.9</v>
      </c>
      <c r="P53" s="9">
        <v>6.4</v>
      </c>
      <c r="Q53" s="42">
        <f>F53+H53+J53+L53+N53+P53</f>
        <v>43.071999999999996</v>
      </c>
      <c r="R53" s="71">
        <f>((F54+H54+J54+L54+N54+P54)/6)*0.01</f>
        <v>0.71786666666666676</v>
      </c>
      <c r="S53" s="69">
        <v>16</v>
      </c>
      <c r="T53" s="59"/>
    </row>
    <row r="54" spans="1:20" ht="15" customHeight="1">
      <c r="A54" s="89"/>
      <c r="B54" s="95"/>
      <c r="C54" s="89"/>
      <c r="D54" s="89"/>
      <c r="E54" s="11">
        <f>E53-F53</f>
        <v>2.46</v>
      </c>
      <c r="F54" s="12">
        <f>((E53*10)/E53)*F53</f>
        <v>74.400000000000006</v>
      </c>
      <c r="G54" s="11">
        <f>G53-H53</f>
        <v>2.8339999999999996</v>
      </c>
      <c r="H54" s="12">
        <f>((G53*10)/G53)*H53</f>
        <v>61.660000000000004</v>
      </c>
      <c r="I54" s="11">
        <f>I53-J53</f>
        <v>1.8000000000000007</v>
      </c>
      <c r="J54" s="12">
        <f>((I53*10)/I53)*J53</f>
        <v>75</v>
      </c>
      <c r="K54" s="11">
        <f>K53-L53</f>
        <v>1.2000000000000011</v>
      </c>
      <c r="L54" s="12">
        <f>((K53*10)/K53)*L53</f>
        <v>87</v>
      </c>
      <c r="M54" s="11">
        <f>M53-N53</f>
        <v>3.0340000000000007</v>
      </c>
      <c r="N54" s="12">
        <f>((M53*10)/M53)*N53</f>
        <v>68.66</v>
      </c>
      <c r="O54" s="11">
        <f>O53-P53</f>
        <v>3.5</v>
      </c>
      <c r="P54" s="12">
        <f>((O53*10)/O53)*P53</f>
        <v>64</v>
      </c>
      <c r="Q54" s="89"/>
      <c r="R54" s="90"/>
      <c r="S54" s="96"/>
      <c r="T54" s="59"/>
    </row>
    <row r="55" spans="1:20" ht="15.75" customHeight="1">
      <c r="A55" s="66" t="s">
        <v>47</v>
      </c>
      <c r="B55" s="70">
        <v>6</v>
      </c>
      <c r="C55" s="40">
        <v>54</v>
      </c>
      <c r="D55" s="41">
        <f>Q55-C55</f>
        <v>-12.337999999999994</v>
      </c>
      <c r="E55" s="8">
        <v>9</v>
      </c>
      <c r="F55" s="9">
        <v>7.4329999999999998</v>
      </c>
      <c r="G55" s="8">
        <v>9.4</v>
      </c>
      <c r="H55" s="9">
        <v>6.0330000000000004</v>
      </c>
      <c r="I55" s="8">
        <v>9.3000000000000007</v>
      </c>
      <c r="J55" s="9">
        <v>6.8</v>
      </c>
      <c r="K55" s="8">
        <v>9.9</v>
      </c>
      <c r="L55" s="9">
        <v>8.1999999999999993</v>
      </c>
      <c r="M55" s="8">
        <v>9.3000000000000007</v>
      </c>
      <c r="N55" s="10">
        <v>6.1660000000000004</v>
      </c>
      <c r="O55" s="8">
        <v>9.9</v>
      </c>
      <c r="P55" s="9">
        <v>7.03</v>
      </c>
      <c r="Q55" s="42">
        <f>F55+H55+J55+L55+N55+P55</f>
        <v>41.662000000000006</v>
      </c>
      <c r="R55" s="45">
        <f>((F56+H56+J56+L56+N56+P56)/6)*0.01</f>
        <v>0.69436666666666669</v>
      </c>
      <c r="S55" s="43">
        <v>17</v>
      </c>
      <c r="T55" s="59"/>
    </row>
    <row r="56" spans="1:20" ht="15.75" customHeight="1">
      <c r="A56" s="89"/>
      <c r="B56" s="95"/>
      <c r="C56" s="89"/>
      <c r="D56" s="89"/>
      <c r="E56" s="11">
        <f>E55-F55</f>
        <v>1.5670000000000002</v>
      </c>
      <c r="F56" s="12">
        <f>((E55*10)/E55)*F55</f>
        <v>74.33</v>
      </c>
      <c r="G56" s="11">
        <f>G55-H55</f>
        <v>3.367</v>
      </c>
      <c r="H56" s="12">
        <f>((G55*10)/G55)*H55</f>
        <v>60.330000000000005</v>
      </c>
      <c r="I56" s="11">
        <f>I55-J55</f>
        <v>2.5000000000000009</v>
      </c>
      <c r="J56" s="12">
        <f>((I55*10)/I55)*J55</f>
        <v>68</v>
      </c>
      <c r="K56" s="11">
        <f>K55-L55</f>
        <v>1.7000000000000011</v>
      </c>
      <c r="L56" s="12">
        <f>((K55*10)/K55)*L55</f>
        <v>82</v>
      </c>
      <c r="M56" s="11">
        <f>M55-N55</f>
        <v>3.1340000000000003</v>
      </c>
      <c r="N56" s="12">
        <f>((M55*10)/M55)*N55</f>
        <v>61.660000000000004</v>
      </c>
      <c r="O56" s="11">
        <f>O55-P55</f>
        <v>2.87</v>
      </c>
      <c r="P56" s="12">
        <f>((O55*10)/O55)*P55</f>
        <v>70.3</v>
      </c>
      <c r="Q56" s="89"/>
      <c r="R56" s="89"/>
      <c r="S56" s="90"/>
      <c r="T56" s="59"/>
    </row>
    <row r="57" spans="1:20" ht="15.75" hidden="1" customHeight="1">
      <c r="A57" s="66" t="s">
        <v>48</v>
      </c>
      <c r="B57" s="67">
        <v>5</v>
      </c>
      <c r="C57" s="40">
        <v>54</v>
      </c>
      <c r="D57" s="41">
        <f>Q57-C57</f>
        <v>-54</v>
      </c>
      <c r="E57" s="8">
        <v>1</v>
      </c>
      <c r="F57" s="9">
        <v>0</v>
      </c>
      <c r="G57" s="8">
        <v>1</v>
      </c>
      <c r="H57" s="9">
        <v>0</v>
      </c>
      <c r="I57" s="8">
        <v>1</v>
      </c>
      <c r="J57" s="9">
        <v>0</v>
      </c>
      <c r="K57" s="8">
        <v>1</v>
      </c>
      <c r="L57" s="9">
        <v>0</v>
      </c>
      <c r="M57" s="8">
        <v>1</v>
      </c>
      <c r="N57" s="9">
        <v>0</v>
      </c>
      <c r="O57" s="8">
        <v>1</v>
      </c>
      <c r="P57" s="9">
        <v>0</v>
      </c>
      <c r="Q57" s="42">
        <f>F57+H57+J57+L57+N57+P57</f>
        <v>0</v>
      </c>
      <c r="R57" s="45">
        <f>((F58+H58+J58+L58+N58+P58)/6)*0.01</f>
        <v>0</v>
      </c>
      <c r="S57" s="43">
        <v>12</v>
      </c>
      <c r="T57" s="81"/>
    </row>
    <row r="58" spans="1:20" ht="15.75" hidden="1" customHeight="1">
      <c r="A58" s="89"/>
      <c r="B58" s="89"/>
      <c r="C58" s="89"/>
      <c r="D58" s="89"/>
      <c r="E58" s="11">
        <f>E57-F57</f>
        <v>1</v>
      </c>
      <c r="F58" s="12">
        <f>((E57*10)/E57)*F57</f>
        <v>0</v>
      </c>
      <c r="G58" s="11">
        <f t="shared" ref="G58" si="0">G57-H57</f>
        <v>1</v>
      </c>
      <c r="H58" s="12">
        <f t="shared" ref="H58" si="1">((G57*10)/G57)*H57</f>
        <v>0</v>
      </c>
      <c r="I58" s="11">
        <f t="shared" ref="I58" si="2">I57-J57</f>
        <v>1</v>
      </c>
      <c r="J58" s="12">
        <f t="shared" ref="J58" si="3">((I57*10)/I57)*J57</f>
        <v>0</v>
      </c>
      <c r="K58" s="11">
        <f t="shared" ref="K58" si="4">K57-L57</f>
        <v>1</v>
      </c>
      <c r="L58" s="12">
        <f t="shared" ref="L58" si="5">((K57*10)/K57)*L57</f>
        <v>0</v>
      </c>
      <c r="M58" s="11">
        <f t="shared" ref="M58" si="6">M57-N57</f>
        <v>1</v>
      </c>
      <c r="N58" s="12">
        <f t="shared" ref="N58" si="7">((M57*10)/M57)*N57</f>
        <v>0</v>
      </c>
      <c r="O58" s="11">
        <f t="shared" ref="O58" si="8">O57-P57</f>
        <v>1</v>
      </c>
      <c r="P58" s="12">
        <f t="shared" ref="P58" si="9">((O57*10)/O57)*P57</f>
        <v>0</v>
      </c>
      <c r="Q58" s="89"/>
      <c r="R58" s="89"/>
      <c r="S58" s="90"/>
      <c r="T58" s="81"/>
    </row>
    <row r="59" spans="1:20" ht="15.75" hidden="1" customHeight="1">
      <c r="A59" s="65" t="s">
        <v>49</v>
      </c>
      <c r="B59" s="63">
        <v>4</v>
      </c>
      <c r="C59" s="40">
        <v>54</v>
      </c>
      <c r="D59" s="41">
        <f>Q59-C59</f>
        <v>-54</v>
      </c>
      <c r="E59" s="8">
        <v>1</v>
      </c>
      <c r="F59" s="9">
        <v>0</v>
      </c>
      <c r="G59" s="8">
        <v>1</v>
      </c>
      <c r="H59" s="9">
        <v>0</v>
      </c>
      <c r="I59" s="8">
        <v>1</v>
      </c>
      <c r="J59" s="9">
        <v>0</v>
      </c>
      <c r="K59" s="8">
        <v>1</v>
      </c>
      <c r="L59" s="9">
        <v>0</v>
      </c>
      <c r="M59" s="8">
        <v>1</v>
      </c>
      <c r="N59" s="9">
        <v>0</v>
      </c>
      <c r="O59" s="8">
        <v>1</v>
      </c>
      <c r="P59" s="9">
        <v>0</v>
      </c>
      <c r="Q59" s="42">
        <f>F59+H59+J59+L59+N59+P59</f>
        <v>0</v>
      </c>
      <c r="R59" s="45">
        <f>((F60+H60+J60+L60+N60+P60)/6)*0.01</f>
        <v>0</v>
      </c>
      <c r="S59" s="43">
        <v>12</v>
      </c>
      <c r="T59" s="81"/>
    </row>
    <row r="60" spans="1:20" ht="15.75" hidden="1" customHeight="1">
      <c r="A60" s="92"/>
      <c r="B60" s="89"/>
      <c r="C60" s="89"/>
      <c r="D60" s="89"/>
      <c r="E60" s="11">
        <f>E59-F59</f>
        <v>1</v>
      </c>
      <c r="F60" s="12">
        <f>((E59*10)/E59)*F59</f>
        <v>0</v>
      </c>
      <c r="G60" s="11">
        <f t="shared" ref="G60" si="10">G59-H59</f>
        <v>1</v>
      </c>
      <c r="H60" s="12">
        <f t="shared" ref="H60" si="11">((G59*10)/G59)*H59</f>
        <v>0</v>
      </c>
      <c r="I60" s="11">
        <f t="shared" ref="I60" si="12">I59-J59</f>
        <v>1</v>
      </c>
      <c r="J60" s="12">
        <f t="shared" ref="J60" si="13">((I59*10)/I59)*J59</f>
        <v>0</v>
      </c>
      <c r="K60" s="11">
        <f t="shared" ref="K60" si="14">K59-L59</f>
        <v>1</v>
      </c>
      <c r="L60" s="12">
        <f t="shared" ref="L60" si="15">((K59*10)/K59)*L59</f>
        <v>0</v>
      </c>
      <c r="M60" s="11">
        <f t="shared" ref="M60" si="16">M59-N59</f>
        <v>1</v>
      </c>
      <c r="N60" s="12">
        <f t="shared" ref="N60" si="17">((M59*10)/M59)*N59</f>
        <v>0</v>
      </c>
      <c r="O60" s="11">
        <f t="shared" ref="O60" si="18">O59-P59</f>
        <v>1</v>
      </c>
      <c r="P60" s="12">
        <f t="shared" ref="P60" si="19">((O59*10)/O59)*P59</f>
        <v>0</v>
      </c>
      <c r="Q60" s="89"/>
      <c r="R60" s="89"/>
      <c r="S60" s="90"/>
      <c r="T60" s="81"/>
    </row>
    <row r="61" spans="1:20" ht="15.75">
      <c r="A61" s="72" t="s">
        <v>50</v>
      </c>
      <c r="B61" s="97"/>
      <c r="C61" s="97"/>
      <c r="D61" s="98"/>
      <c r="E61" s="73">
        <f>AVERAGE(Hoja3!F5,Hoja3!F17,Hoja3!F19,Hoja3!F15,Hoja3!F7,Hoja3!F11,Hoja3!F24,Hoja3!F30,Hoja3!F26,Hoja3!F32,Hoja3!F42,Hoja3!F40,Hoja3!F28,Hoja3!F44,Hoja3!F38,Hoja3!F50,Hoja3!F48,Hoja3!F36,Hoja3!F56,Hoja3!F34,Hoja3!F46,Hoja3!F54,Hoja3!F9)</f>
        <v>81.73379661251667</v>
      </c>
      <c r="F61" s="99"/>
      <c r="G61" s="73">
        <f>AVERAGE(Hoja3!H5,Hoja3!H17,Hoja3!H19,Hoja3!H15,Hoja3!H7,Hoja3!H11,Hoja3!H24,Hoja3!H30,Hoja3!H26,Hoja3!H32,Hoja3!H42,Hoja3!H40,Hoja3!H28,Hoja3!H44,Hoja3!H38,Hoja3!H50,Hoja3!H48,Hoja3!H36,Hoja3!H56,Hoja3!H34,Hoja3!H46,Hoja3!H54,Hoja3!H9,Hoja3!H52,Hoja3!H13)</f>
        <v>81.776288336386813</v>
      </c>
      <c r="H61" s="99"/>
      <c r="I61" s="73">
        <f>AVERAGE(Hoja3!J5,Hoja3!J17,Hoja3!J19,Hoja3!J15,Hoja3!J7,Hoja3!J11,Hoja3!J24,Hoja3!J30,Hoja3!J26,Hoja3!J32,Hoja3!J42,Hoja3!J40,Hoja3!J28,Hoja3!J44,Hoja3!J38,Hoja3!J50,Hoja3!J48,Hoja3!J36,Hoja3!J56,Hoja3!J34,Hoja3!J46,Hoja3!J54,Hoja3!J9,Hoja3!J52,Hoja3!J13)</f>
        <v>83.344339309935108</v>
      </c>
      <c r="J61" s="99"/>
      <c r="K61" s="73">
        <f>AVERAGE(Hoja3!L5,Hoja3!L17,Hoja3!L19,Hoja3!L15,Hoja3!L7,Hoja3!L11,Hoja3!L24,Hoja3!L30,Hoja3!L26,Hoja3!L32,Hoja3!L42,Hoja3!L40,Hoja3!L28,Hoja3!L44,Hoja3!L38,Hoja3!L50,Hoja3!L48,Hoja3!L36,Hoja3!L56,Hoja3!L34,Hoja3!L46,Hoja3!L54,Hoja3!L9,Hoja3!L52)</f>
        <v>85.982092369109296</v>
      </c>
      <c r="L61" s="99"/>
      <c r="M61" s="73">
        <f>AVERAGE(Hoja3!N5,Hoja3!N17,Hoja3!N19,Hoja3!N15,Hoja3!N7,Hoja3!N11,Hoja3!N24,Hoja3!N30,Hoja3!N26,Hoja3!N32,Hoja3!N42,Hoja3!N40,Hoja3!N28,Hoja3!N44,Hoja3!N38,Hoja3!N50,Hoja3!N48,Hoja3!N36,Hoja3!N56,Hoja3!N34,Hoja3!N46,Hoja3!N54,Hoja3!N9,Hoja3!N52,Hoja3!N13)</f>
        <v>82.314651174765203</v>
      </c>
      <c r="N61" s="99"/>
      <c r="O61" s="73">
        <f>AVERAGE(Hoja3!P5,Hoja3!P17,Hoja3!P19,Hoja3!P15,Hoja3!P7,Hoja3!P11,Hoja3!P24,Hoja3!P30,Hoja3!P26,Hoja3!P32,Hoja3!P42,Hoja3!P40,Hoja3!P28,Hoja3!P44,Hoja3!P38,Hoja3!P50,Hoja3!P48,Hoja3!P36,Hoja3!P56,Hoja3!P34,Hoja3!P46,Hoja3!P54,Hoja3!P9,Hoja3!P52,Hoja3!P13)</f>
        <v>80.5331660448403</v>
      </c>
      <c r="P61" s="99"/>
      <c r="Q61" s="74">
        <f>AVERAGE(Hoja3!R4,Hoja3!R16,Hoja3!R14,Hoja3!R6,Hoja3!R10,Hoja3!R18,Hoja3!R8,Hoja3!R12,Hoja3!R23,Hoja3!R25,Hoja3!R29,Hoja3!R39,Hoja3!R31,Hoja3!R41,Hoja3!R27,Hoja3!R35,Hoja3!R43,Hoja3!R47,Hoja3!R49,Hoja3!R37,Hoja3!R55,Hoja3!R33,Hoja3!R45,Hoja3!R53,Hoja3!R51)</f>
        <v>0.82509906796656185</v>
      </c>
      <c r="R61" s="100"/>
      <c r="S61" s="32"/>
      <c r="T61" s="31"/>
    </row>
  </sheetData>
  <mergeCells count="222">
    <mergeCell ref="D59:D60"/>
    <mergeCell ref="Q59:Q60"/>
    <mergeCell ref="R59:R60"/>
    <mergeCell ref="S59:S60"/>
    <mergeCell ref="A57:A58"/>
    <mergeCell ref="A59:A60"/>
    <mergeCell ref="R51:R52"/>
    <mergeCell ref="R55:R56"/>
    <mergeCell ref="S55:S56"/>
    <mergeCell ref="A61:D61"/>
    <mergeCell ref="G61:H61"/>
    <mergeCell ref="I61:J61"/>
    <mergeCell ref="Q61:R61"/>
    <mergeCell ref="M61:N61"/>
    <mergeCell ref="O61:P61"/>
    <mergeCell ref="K61:L61"/>
    <mergeCell ref="E61:F61"/>
    <mergeCell ref="A55:A56"/>
    <mergeCell ref="D55:D56"/>
    <mergeCell ref="B55:B56"/>
    <mergeCell ref="C55:C56"/>
    <mergeCell ref="Q55:Q56"/>
    <mergeCell ref="B57:B58"/>
    <mergeCell ref="C57:C58"/>
    <mergeCell ref="D57:D58"/>
    <mergeCell ref="Q57:Q58"/>
    <mergeCell ref="R57:R58"/>
    <mergeCell ref="S57:S58"/>
    <mergeCell ref="B59:B60"/>
    <mergeCell ref="C59:C60"/>
    <mergeCell ref="D49:D50"/>
    <mergeCell ref="C49:C50"/>
    <mergeCell ref="Q49:Q50"/>
    <mergeCell ref="D47:D48"/>
    <mergeCell ref="C47:C48"/>
    <mergeCell ref="Q47:Q48"/>
    <mergeCell ref="R47:R48"/>
    <mergeCell ref="S53:S54"/>
    <mergeCell ref="A53:A54"/>
    <mergeCell ref="B53:B54"/>
    <mergeCell ref="C53:C54"/>
    <mergeCell ref="D53:D54"/>
    <mergeCell ref="Q53:Q54"/>
    <mergeCell ref="R53:R54"/>
    <mergeCell ref="R49:R50"/>
    <mergeCell ref="S49:S50"/>
    <mergeCell ref="A49:A50"/>
    <mergeCell ref="B49:B50"/>
    <mergeCell ref="S51:S52"/>
    <mergeCell ref="A51:A52"/>
    <mergeCell ref="B51:B52"/>
    <mergeCell ref="C51:C52"/>
    <mergeCell ref="D51:D52"/>
    <mergeCell ref="Q51:Q52"/>
    <mergeCell ref="S47:S48"/>
    <mergeCell ref="S45:S46"/>
    <mergeCell ref="Q45:Q46"/>
    <mergeCell ref="R45:R46"/>
    <mergeCell ref="A45:A46"/>
    <mergeCell ref="B45:B46"/>
    <mergeCell ref="C45:C46"/>
    <mergeCell ref="D45:D46"/>
    <mergeCell ref="S43:S44"/>
    <mergeCell ref="A43:A44"/>
    <mergeCell ref="B43:B44"/>
    <mergeCell ref="C43:C44"/>
    <mergeCell ref="D43:D44"/>
    <mergeCell ref="Q43:Q44"/>
    <mergeCell ref="R43:R44"/>
    <mergeCell ref="A47:A48"/>
    <mergeCell ref="B47:B48"/>
    <mergeCell ref="S41:S42"/>
    <mergeCell ref="R41:R42"/>
    <mergeCell ref="A41:A42"/>
    <mergeCell ref="B41:B42"/>
    <mergeCell ref="D41:D42"/>
    <mergeCell ref="C41:C42"/>
    <mergeCell ref="Q41:Q42"/>
    <mergeCell ref="S39:S40"/>
    <mergeCell ref="A39:A40"/>
    <mergeCell ref="B39:B40"/>
    <mergeCell ref="C39:C40"/>
    <mergeCell ref="D39:D40"/>
    <mergeCell ref="Q39:Q40"/>
    <mergeCell ref="R39:R40"/>
    <mergeCell ref="S37:S38"/>
    <mergeCell ref="A37:A38"/>
    <mergeCell ref="B37:B38"/>
    <mergeCell ref="C37:C38"/>
    <mergeCell ref="D37:D38"/>
    <mergeCell ref="Q37:Q38"/>
    <mergeCell ref="R37:R38"/>
    <mergeCell ref="R35:R36"/>
    <mergeCell ref="S35:S36"/>
    <mergeCell ref="A35:A36"/>
    <mergeCell ref="B35:B36"/>
    <mergeCell ref="C35:C36"/>
    <mergeCell ref="D35:D36"/>
    <mergeCell ref="Q35:Q36"/>
    <mergeCell ref="S33:S34"/>
    <mergeCell ref="A33:A34"/>
    <mergeCell ref="B33:B34"/>
    <mergeCell ref="C33:C34"/>
    <mergeCell ref="D33:D34"/>
    <mergeCell ref="Q33:Q34"/>
    <mergeCell ref="R33:R34"/>
    <mergeCell ref="S31:S32"/>
    <mergeCell ref="R31:R32"/>
    <mergeCell ref="A31:A32"/>
    <mergeCell ref="B31:B32"/>
    <mergeCell ref="C31:C32"/>
    <mergeCell ref="D31:D32"/>
    <mergeCell ref="Q31:Q32"/>
    <mergeCell ref="S29:S30"/>
    <mergeCell ref="A29:A30"/>
    <mergeCell ref="B29:B30"/>
    <mergeCell ref="C29:C30"/>
    <mergeCell ref="D29:D30"/>
    <mergeCell ref="Q29:Q30"/>
    <mergeCell ref="R29:R30"/>
    <mergeCell ref="A25:A26"/>
    <mergeCell ref="B25:B26"/>
    <mergeCell ref="S27:S28"/>
    <mergeCell ref="R27:R28"/>
    <mergeCell ref="C27:C28"/>
    <mergeCell ref="D27:D28"/>
    <mergeCell ref="Q27:Q28"/>
    <mergeCell ref="A27:A28"/>
    <mergeCell ref="B27:B28"/>
    <mergeCell ref="T4:T19"/>
    <mergeCell ref="S25:S26"/>
    <mergeCell ref="D25:D26"/>
    <mergeCell ref="C25:C26"/>
    <mergeCell ref="Q25:Q26"/>
    <mergeCell ref="R25:R26"/>
    <mergeCell ref="T23:T56"/>
    <mergeCell ref="S20:S21"/>
    <mergeCell ref="D20:D21"/>
    <mergeCell ref="A22:T22"/>
    <mergeCell ref="A23:A24"/>
    <mergeCell ref="B23:B24"/>
    <mergeCell ref="S23:S24"/>
    <mergeCell ref="R23:R24"/>
    <mergeCell ref="Q23:Q24"/>
    <mergeCell ref="D23:D24"/>
    <mergeCell ref="C23:C24"/>
    <mergeCell ref="C20:C21"/>
    <mergeCell ref="B20:B21"/>
    <mergeCell ref="A20:A21"/>
    <mergeCell ref="R20:R21"/>
    <mergeCell ref="Q20:Q21"/>
    <mergeCell ref="A18:A19"/>
    <mergeCell ref="B18:B19"/>
    <mergeCell ref="R18:R19"/>
    <mergeCell ref="S18:S19"/>
    <mergeCell ref="D18:D19"/>
    <mergeCell ref="C18:C19"/>
    <mergeCell ref="Q18:Q19"/>
    <mergeCell ref="A16:A17"/>
    <mergeCell ref="S16:S17"/>
    <mergeCell ref="R16:R17"/>
    <mergeCell ref="D16:D17"/>
    <mergeCell ref="C16:C17"/>
    <mergeCell ref="B16:B17"/>
    <mergeCell ref="Q16:Q17"/>
    <mergeCell ref="S14:S15"/>
    <mergeCell ref="A12:A13"/>
    <mergeCell ref="B12:B13"/>
    <mergeCell ref="C12:C13"/>
    <mergeCell ref="D12:D13"/>
    <mergeCell ref="Q12:Q13"/>
    <mergeCell ref="R12:R13"/>
    <mergeCell ref="S12:S13"/>
    <mergeCell ref="A14:A15"/>
    <mergeCell ref="B14:B15"/>
    <mergeCell ref="Q14:Q15"/>
    <mergeCell ref="R14:R15"/>
    <mergeCell ref="C14:C15"/>
    <mergeCell ref="D14:D15"/>
    <mergeCell ref="S10:S11"/>
    <mergeCell ref="A8:A9"/>
    <mergeCell ref="B8:B9"/>
    <mergeCell ref="Q8:Q9"/>
    <mergeCell ref="R8:R9"/>
    <mergeCell ref="C8:C9"/>
    <mergeCell ref="D8:D9"/>
    <mergeCell ref="S8:S9"/>
    <mergeCell ref="T1:T3"/>
    <mergeCell ref="K1:L1"/>
    <mergeCell ref="S1:S3"/>
    <mergeCell ref="R1:R3"/>
    <mergeCell ref="A1:D1"/>
    <mergeCell ref="I1:J1"/>
    <mergeCell ref="O1:P1"/>
    <mergeCell ref="M1:N1"/>
    <mergeCell ref="E1:F1"/>
    <mergeCell ref="G1:H1"/>
    <mergeCell ref="C2:C3"/>
    <mergeCell ref="D2:D3"/>
    <mergeCell ref="A2:A3"/>
    <mergeCell ref="B2:B3"/>
    <mergeCell ref="Q2:Q3"/>
    <mergeCell ref="A4:A5"/>
    <mergeCell ref="B4:B5"/>
    <mergeCell ref="C4:C5"/>
    <mergeCell ref="D4:D5"/>
    <mergeCell ref="Q4:Q5"/>
    <mergeCell ref="D10:D11"/>
    <mergeCell ref="Q10:Q11"/>
    <mergeCell ref="C10:C11"/>
    <mergeCell ref="A10:A11"/>
    <mergeCell ref="B10:B11"/>
    <mergeCell ref="R10:R11"/>
    <mergeCell ref="S4:S5"/>
    <mergeCell ref="R4:R5"/>
    <mergeCell ref="A6:A7"/>
    <mergeCell ref="B6:B7"/>
    <mergeCell ref="C6:C7"/>
    <mergeCell ref="D6:D7"/>
    <mergeCell ref="Q6:Q7"/>
    <mergeCell ref="R6:R7"/>
    <mergeCell ref="S6:S7"/>
  </mergeCells>
  <conditionalFormatting sqref="D4:D6 D8:D21">
    <cfRule type="cellIs" dxfId="966" priority="1225" operator="greaterThanOrEqual">
      <formula>0.01</formula>
    </cfRule>
    <cfRule type="cellIs" dxfId="965" priority="1226" stopIfTrue="1" operator="between">
      <formula>0</formula>
      <formula>-2.9999999</formula>
    </cfRule>
    <cfRule type="cellIs" dxfId="964" priority="1227" stopIfTrue="1" operator="lessThan">
      <formula>-3</formula>
    </cfRule>
  </conditionalFormatting>
  <conditionalFormatting sqref="D23:D26">
    <cfRule type="cellIs" dxfId="963" priority="698" operator="greaterThanOrEqual">
      <formula>0.01</formula>
    </cfRule>
    <cfRule type="cellIs" dxfId="962" priority="699" stopIfTrue="1" operator="between">
      <formula>0</formula>
      <formula>-2.9999999</formula>
    </cfRule>
    <cfRule type="cellIs" dxfId="961" priority="700" stopIfTrue="1" operator="lessThan">
      <formula>-3</formula>
    </cfRule>
  </conditionalFormatting>
  <conditionalFormatting sqref="D27:D28">
    <cfRule type="cellIs" dxfId="960" priority="662" operator="greaterThan">
      <formula>0.01</formula>
    </cfRule>
    <cfRule type="cellIs" dxfId="959" priority="663" stopIfTrue="1" operator="between">
      <formula>0</formula>
      <formula>-2.9999999</formula>
    </cfRule>
  </conditionalFormatting>
  <conditionalFormatting sqref="D27:D32">
    <cfRule type="cellIs" dxfId="958" priority="610" stopIfTrue="1" operator="lessThan">
      <formula>-3</formula>
    </cfRule>
  </conditionalFormatting>
  <conditionalFormatting sqref="D29:D32">
    <cfRule type="cellIs" dxfId="957" priority="608" operator="greaterThanOrEqual">
      <formula>0.01</formula>
    </cfRule>
    <cfRule type="cellIs" dxfId="956" priority="609" stopIfTrue="1" operator="between">
      <formula>0</formula>
      <formula>-2.9999999</formula>
    </cfRule>
  </conditionalFormatting>
  <conditionalFormatting sqref="D33:D36">
    <cfRule type="cellIs" dxfId="955" priority="514" stopIfTrue="1" operator="lessThan">
      <formula>-3</formula>
    </cfRule>
    <cfRule type="cellIs" dxfId="954" priority="515" operator="greaterThan">
      <formula>0.01</formula>
    </cfRule>
  </conditionalFormatting>
  <conditionalFormatting sqref="D33:D38">
    <cfRule type="cellIs" dxfId="953" priority="499" stopIfTrue="1" operator="between">
      <formula>0</formula>
      <formula>-2.9999999</formula>
    </cfRule>
  </conditionalFormatting>
  <conditionalFormatting sqref="D37:D42">
    <cfRule type="cellIs" dxfId="952" priority="404" operator="greaterThan">
      <formula>0.01</formula>
    </cfRule>
  </conditionalFormatting>
  <conditionalFormatting sqref="D37:D46">
    <cfRule type="cellIs" dxfId="951" priority="330" stopIfTrue="1" operator="lessThan">
      <formula>-3</formula>
    </cfRule>
  </conditionalFormatting>
  <conditionalFormatting sqref="D39:D46">
    <cfRule type="cellIs" dxfId="950" priority="329" stopIfTrue="1" operator="between">
      <formula>0</formula>
      <formula>-2.9999999</formula>
    </cfRule>
  </conditionalFormatting>
  <conditionalFormatting sqref="D43:D46">
    <cfRule type="cellIs" dxfId="949" priority="328" operator="greaterThanOrEqual">
      <formula>0.01</formula>
    </cfRule>
  </conditionalFormatting>
  <conditionalFormatting sqref="D47:D52">
    <cfRule type="cellIs" dxfId="948" priority="239" operator="greaterThan">
      <formula>0.01</formula>
    </cfRule>
    <cfRule type="cellIs" dxfId="947" priority="240" stopIfTrue="1" operator="between">
      <formula>0</formula>
      <formula>-2.9999999</formula>
    </cfRule>
  </conditionalFormatting>
  <conditionalFormatting sqref="D47:D54">
    <cfRule type="cellIs" dxfId="946" priority="203" stopIfTrue="1" operator="lessThan">
      <formula>-3</formula>
    </cfRule>
  </conditionalFormatting>
  <conditionalFormatting sqref="D53:D54">
    <cfRule type="cellIs" dxfId="945" priority="201" operator="greaterThanOrEqual">
      <formula>0.01</formula>
    </cfRule>
    <cfRule type="cellIs" dxfId="944" priority="202" stopIfTrue="1" operator="between">
      <formula>0</formula>
      <formula>-2.9999999</formula>
    </cfRule>
  </conditionalFormatting>
  <conditionalFormatting sqref="D55:D56">
    <cfRule type="cellIs" dxfId="943" priority="143" stopIfTrue="1" operator="lessThan">
      <formula>-3</formula>
    </cfRule>
    <cfRule type="cellIs" dxfId="942" priority="144" operator="greaterThan">
      <formula>0.01</formula>
    </cfRule>
    <cfRule type="cellIs" dxfId="941" priority="166" stopIfTrue="1" operator="between">
      <formula>0</formula>
      <formula>-2.9999999</formula>
    </cfRule>
  </conditionalFormatting>
  <conditionalFormatting sqref="E11">
    <cfRule type="cellIs" dxfId="940" priority="1270" operator="between">
      <formula>0</formula>
      <formula>1.4999999</formula>
    </cfRule>
    <cfRule type="cellIs" dxfId="939" priority="1271" operator="between">
      <formula>1.5</formula>
      <formula>1.9999999</formula>
    </cfRule>
    <cfRule type="cellIs" dxfId="938" priority="1272" operator="greaterThanOrEqual">
      <formula>2</formula>
    </cfRule>
  </conditionalFormatting>
  <conditionalFormatting sqref="E7">
    <cfRule type="cellIs" dxfId="937" priority="1222" operator="between">
      <formula>0</formula>
      <formula>1.4999999</formula>
    </cfRule>
    <cfRule type="cellIs" dxfId="936" priority="1223" operator="between">
      <formula>1.5</formula>
      <formula>1.9999999</formula>
    </cfRule>
    <cfRule type="cellIs" dxfId="935" priority="1224" operator="greaterThanOrEqual">
      <formula>2</formula>
    </cfRule>
    <cfRule type="cellIs" dxfId="934" priority="1238" operator="between">
      <formula>0</formula>
      <formula>1.4999999</formula>
    </cfRule>
    <cfRule type="cellIs" dxfId="933" priority="1239" operator="between">
      <formula>1.5</formula>
      <formula>1.9999999</formula>
    </cfRule>
  </conditionalFormatting>
  <conditionalFormatting sqref="E9">
    <cfRule type="cellIs" dxfId="932" priority="1133" operator="between">
      <formula>0</formula>
      <formula>1.4999999</formula>
    </cfRule>
    <cfRule type="cellIs" dxfId="931" priority="1134" operator="between">
      <formula>1.5</formula>
      <formula>1.9999999</formula>
    </cfRule>
    <cfRule type="cellIs" dxfId="930" priority="1135" operator="greaterThanOrEqual">
      <formula>2</formula>
    </cfRule>
  </conditionalFormatting>
  <conditionalFormatting sqref="E15">
    <cfRule type="cellIs" dxfId="929" priority="1080" operator="between">
      <formula>0</formula>
      <formula>1.4999999</formula>
    </cfRule>
    <cfRule type="cellIs" dxfId="928" priority="1081" operator="between">
      <formula>1.5</formula>
      <formula>1.9999999</formula>
    </cfRule>
    <cfRule type="cellIs" dxfId="927" priority="1082" operator="greaterThanOrEqual">
      <formula>2</formula>
    </cfRule>
  </conditionalFormatting>
  <conditionalFormatting sqref="E13">
    <cfRule type="cellIs" dxfId="926" priority="1044" operator="between">
      <formula>0</formula>
      <formula>1.4999999</formula>
    </cfRule>
    <cfRule type="cellIs" dxfId="925" priority="1045" operator="between">
      <formula>1.5</formula>
      <formula>1.9999999</formula>
    </cfRule>
    <cfRule type="cellIs" dxfId="924" priority="1046" operator="greaterThanOrEqual">
      <formula>2</formula>
    </cfRule>
  </conditionalFormatting>
  <conditionalFormatting sqref="E17">
    <cfRule type="cellIs" dxfId="923" priority="941" operator="between">
      <formula>0</formula>
      <formula>1.4999999</formula>
    </cfRule>
    <cfRule type="cellIs" dxfId="922" priority="942" operator="between">
      <formula>1.5</formula>
      <formula>1.9999999</formula>
    </cfRule>
    <cfRule type="cellIs" dxfId="921" priority="943" operator="greaterThanOrEqual">
      <formula>2</formula>
    </cfRule>
  </conditionalFormatting>
  <conditionalFormatting sqref="E19">
    <cfRule type="cellIs" dxfId="920" priority="889" operator="between">
      <formula>0</formula>
      <formula>1.4999999</formula>
    </cfRule>
    <cfRule type="cellIs" dxfId="919" priority="890" operator="between">
      <formula>1.5</formula>
      <formula>1.9999999</formula>
    </cfRule>
    <cfRule type="cellIs" dxfId="918" priority="891" operator="greaterThanOrEqual">
      <formula>2</formula>
    </cfRule>
  </conditionalFormatting>
  <conditionalFormatting sqref="E21">
    <cfRule type="cellIs" dxfId="917" priority="798" operator="greaterThanOrEqual">
      <formula>2</formula>
    </cfRule>
    <cfRule type="cellIs" dxfId="916" priority="799" operator="between">
      <formula>0</formula>
      <formula>1.4999999</formula>
    </cfRule>
    <cfRule type="cellIs" dxfId="915" priority="800" operator="between">
      <formula>1.5</formula>
      <formula>1.9999999</formula>
    </cfRule>
  </conditionalFormatting>
  <conditionalFormatting sqref="E24 G24 I24 M24 O24">
    <cfRule type="cellIs" dxfId="914" priority="731" operator="lessThan">
      <formula>1</formula>
    </cfRule>
    <cfRule type="cellIs" dxfId="913" priority="750" operator="greaterThanOrEqual">
      <formula>1.5</formula>
    </cfRule>
    <cfRule type="cellIs" dxfId="912" priority="751" operator="between">
      <formula>1.01</formula>
      <formula>1.49999</formula>
    </cfRule>
  </conditionalFormatting>
  <conditionalFormatting sqref="E26 G26 I26 K26 M26 O26">
    <cfRule type="cellIs" dxfId="911" priority="701" operator="lessThan">
      <formula>1</formula>
    </cfRule>
    <cfRule type="cellIs" dxfId="910" priority="720" operator="greaterThanOrEqual">
      <formula>1.5</formula>
    </cfRule>
    <cfRule type="cellIs" dxfId="909" priority="721" operator="between">
      <formula>1.01</formula>
      <formula>1.49999</formula>
    </cfRule>
  </conditionalFormatting>
  <conditionalFormatting sqref="E28 G28 I28 K28 M28 O28">
    <cfRule type="cellIs" dxfId="908" priority="664" operator="lessThan">
      <formula>1</formula>
    </cfRule>
    <cfRule type="cellIs" dxfId="907" priority="683" operator="greaterThanOrEqual">
      <formula>1.5</formula>
    </cfRule>
    <cfRule type="cellIs" dxfId="906" priority="684" operator="between">
      <formula>1.01</formula>
      <formula>1.49999</formula>
    </cfRule>
  </conditionalFormatting>
  <conditionalFormatting sqref="E30 G30 I30 K30 M30 O30">
    <cfRule type="cellIs" dxfId="905" priority="627" operator="lessThan">
      <formula>1</formula>
    </cfRule>
    <cfRule type="cellIs" dxfId="904" priority="646" operator="greaterThanOrEqual">
      <formula>1.5</formula>
    </cfRule>
    <cfRule type="cellIs" dxfId="903" priority="647" operator="between">
      <formula>1.01</formula>
      <formula>1.49999</formula>
    </cfRule>
  </conditionalFormatting>
  <conditionalFormatting sqref="E32 G32 I32 K32 M32 O32">
    <cfRule type="cellIs" dxfId="902" priority="587" operator="lessThan">
      <formula>1</formula>
    </cfRule>
    <cfRule type="cellIs" dxfId="901" priority="606" operator="greaterThanOrEqual">
      <formula>1.5</formula>
    </cfRule>
    <cfRule type="cellIs" dxfId="900" priority="607" operator="between">
      <formula>1.01</formula>
      <formula>1.49999</formula>
    </cfRule>
  </conditionalFormatting>
  <conditionalFormatting sqref="E34 G34 I34 K34 M34 O34">
    <cfRule type="cellIs" dxfId="899" priority="553" operator="lessThan">
      <formula>1</formula>
    </cfRule>
    <cfRule type="cellIs" dxfId="898" priority="572" operator="greaterThanOrEqual">
      <formula>1.5</formula>
    </cfRule>
    <cfRule type="cellIs" dxfId="897" priority="573" operator="between">
      <formula>1.01</formula>
      <formula>1.49999</formula>
    </cfRule>
  </conditionalFormatting>
  <conditionalFormatting sqref="E36 G36 I36 K36 M36 O36">
    <cfRule type="cellIs" dxfId="896" priority="516" operator="lessThan">
      <formula>1</formula>
    </cfRule>
    <cfRule type="cellIs" dxfId="895" priority="535" operator="greaterThanOrEqual">
      <formula>1.5</formula>
    </cfRule>
    <cfRule type="cellIs" dxfId="894" priority="536" operator="between">
      <formula>1.01</formula>
      <formula>1.49999</formula>
    </cfRule>
  </conditionalFormatting>
  <conditionalFormatting sqref="E38 G38 I38 K38 M38 O38">
    <cfRule type="cellIs" dxfId="893" priority="478" operator="lessThan">
      <formula>1</formula>
    </cfRule>
    <cfRule type="cellIs" dxfId="892" priority="497" operator="greaterThanOrEqual">
      <formula>1.5</formula>
    </cfRule>
    <cfRule type="cellIs" dxfId="891" priority="498" operator="between">
      <formula>1.01</formula>
      <formula>1.49999</formula>
    </cfRule>
  </conditionalFormatting>
  <conditionalFormatting sqref="E40 G40 I40 K40 M40 O40">
    <cfRule type="cellIs" dxfId="890" priority="441" operator="lessThan">
      <formula>1</formula>
    </cfRule>
    <cfRule type="cellIs" dxfId="889" priority="460" operator="greaterThanOrEqual">
      <formula>1.5</formula>
    </cfRule>
    <cfRule type="cellIs" dxfId="888" priority="461" operator="between">
      <formula>1.01</formula>
      <formula>1.49999</formula>
    </cfRule>
  </conditionalFormatting>
  <conditionalFormatting sqref="E42 G42 I42 K42 M42 O42">
    <cfRule type="cellIs" dxfId="887" priority="405" operator="lessThan">
      <formula>1</formula>
    </cfRule>
    <cfRule type="cellIs" dxfId="886" priority="424" operator="greaterThanOrEqual">
      <formula>1.5</formula>
    </cfRule>
    <cfRule type="cellIs" dxfId="885" priority="425" operator="between">
      <formula>1.01</formula>
      <formula>1.49999</formula>
    </cfRule>
  </conditionalFormatting>
  <conditionalFormatting sqref="E44 G44 I44 K44 M44 O44">
    <cfRule type="cellIs" dxfId="884" priority="368" operator="lessThan">
      <formula>1</formula>
    </cfRule>
    <cfRule type="cellIs" dxfId="883" priority="387" operator="greaterThanOrEqual">
      <formula>1.5</formula>
    </cfRule>
    <cfRule type="cellIs" dxfId="882" priority="388" operator="between">
      <formula>1.01</formula>
      <formula>1.49999</formula>
    </cfRule>
  </conditionalFormatting>
  <conditionalFormatting sqref="E46 G46 I46 K46 M46 O46">
    <cfRule type="cellIs" dxfId="881" priority="331" operator="lessThan">
      <formula>1</formula>
    </cfRule>
    <cfRule type="cellIs" dxfId="880" priority="350" operator="greaterThanOrEqual">
      <formula>1.5</formula>
    </cfRule>
    <cfRule type="cellIs" dxfId="879" priority="351" operator="between">
      <formula>1.01</formula>
      <formula>1.49999</formula>
    </cfRule>
  </conditionalFormatting>
  <conditionalFormatting sqref="E48 G48 I48 K48 M48 O48">
    <cfRule type="cellIs" dxfId="878" priority="293" operator="lessThan">
      <formula>1</formula>
    </cfRule>
    <cfRule type="cellIs" dxfId="877" priority="312" operator="greaterThanOrEqual">
      <formula>1.5</formula>
    </cfRule>
    <cfRule type="cellIs" dxfId="876" priority="313" operator="between">
      <formula>1.01</formula>
      <formula>1.49999</formula>
    </cfRule>
  </conditionalFormatting>
  <conditionalFormatting sqref="E50 G50 I50 K50 M50 O50">
    <cfRule type="cellIs" dxfId="875" priority="256" operator="lessThan">
      <formula>1</formula>
    </cfRule>
    <cfRule type="cellIs" dxfId="874" priority="275" operator="greaterThanOrEqual">
      <formula>1.5</formula>
    </cfRule>
    <cfRule type="cellIs" dxfId="873" priority="276" operator="between">
      <formula>1.01</formula>
      <formula>1.49999</formula>
    </cfRule>
  </conditionalFormatting>
  <conditionalFormatting sqref="E52 G52 I52 K52 M52 O52">
    <cfRule type="cellIs" dxfId="872" priority="216" operator="lessThan">
      <formula>1</formula>
    </cfRule>
    <cfRule type="cellIs" dxfId="871" priority="236" operator="greaterThanOrEqual">
      <formula>1.5</formula>
    </cfRule>
    <cfRule type="cellIs" dxfId="870" priority="237" operator="between">
      <formula>1.01</formula>
      <formula>1.49999</formula>
    </cfRule>
  </conditionalFormatting>
  <conditionalFormatting sqref="E54 G54 I54 K54 M54 O54">
    <cfRule type="cellIs" dxfId="869" priority="180" operator="lessThan">
      <formula>1</formula>
    </cfRule>
    <cfRule type="cellIs" dxfId="868" priority="199" operator="greaterThanOrEqual">
      <formula>1.5</formula>
    </cfRule>
    <cfRule type="cellIs" dxfId="867" priority="200" operator="between">
      <formula>1.01</formula>
      <formula>1.49999</formula>
    </cfRule>
  </conditionalFormatting>
  <conditionalFormatting sqref="E56 G56 I56 K56 M56 O56">
    <cfRule type="cellIs" dxfId="866" priority="145" operator="lessThan">
      <formula>1</formula>
    </cfRule>
    <cfRule type="cellIs" dxfId="865" priority="161" operator="greaterThanOrEqual">
      <formula>1.5</formula>
    </cfRule>
    <cfRule type="cellIs" dxfId="864" priority="162" operator="between">
      <formula>1.01</formula>
      <formula>1.49999</formula>
    </cfRule>
  </conditionalFormatting>
  <conditionalFormatting sqref="E24:P24">
    <cfRule type="cellIs" dxfId="863" priority="761" operator="equal">
      <formula>0</formula>
    </cfRule>
  </conditionalFormatting>
  <conditionalFormatting sqref="E26:P26">
    <cfRule type="cellIs" dxfId="862" priority="697" operator="equal">
      <formula>0</formula>
    </cfRule>
  </conditionalFormatting>
  <conditionalFormatting sqref="E28:P28">
    <cfRule type="cellIs" dxfId="861" priority="660" operator="equal">
      <formula>0</formula>
    </cfRule>
  </conditionalFormatting>
  <conditionalFormatting sqref="E30:P30">
    <cfRule type="cellIs" dxfId="860" priority="623" operator="equal">
      <formula>0</formula>
    </cfRule>
  </conditionalFormatting>
  <conditionalFormatting sqref="E32:P32">
    <cfRule type="cellIs" dxfId="859" priority="586" operator="equal">
      <formula>0</formula>
    </cfRule>
  </conditionalFormatting>
  <conditionalFormatting sqref="E34:P34">
    <cfRule type="cellIs" dxfId="858" priority="549" operator="equal">
      <formula>0</formula>
    </cfRule>
  </conditionalFormatting>
  <conditionalFormatting sqref="E36:P36">
    <cfRule type="cellIs" dxfId="857" priority="512" operator="equal">
      <formula>0</formula>
    </cfRule>
  </conditionalFormatting>
  <conditionalFormatting sqref="E38:P38">
    <cfRule type="cellIs" dxfId="856" priority="475" operator="equal">
      <formula>0</formula>
    </cfRule>
  </conditionalFormatting>
  <conditionalFormatting sqref="E40:P40">
    <cfRule type="cellIs" dxfId="855" priority="438" operator="equal">
      <formula>0</formula>
    </cfRule>
  </conditionalFormatting>
  <conditionalFormatting sqref="E42:P42">
    <cfRule type="cellIs" dxfId="854" priority="401" operator="equal">
      <formula>0</formula>
    </cfRule>
  </conditionalFormatting>
  <conditionalFormatting sqref="E44:P44">
    <cfRule type="cellIs" dxfId="853" priority="364" operator="equal">
      <formula>0</formula>
    </cfRule>
  </conditionalFormatting>
  <conditionalFormatting sqref="E46:P46">
    <cfRule type="cellIs" dxfId="852" priority="327" operator="equal">
      <formula>0</formula>
    </cfRule>
  </conditionalFormatting>
  <conditionalFormatting sqref="E48:P48">
    <cfRule type="cellIs" dxfId="851" priority="290" operator="equal">
      <formula>0</formula>
    </cfRule>
  </conditionalFormatting>
  <conditionalFormatting sqref="E50:P50">
    <cfRule type="cellIs" dxfId="850" priority="253" operator="equal">
      <formula>0</formula>
    </cfRule>
  </conditionalFormatting>
  <conditionalFormatting sqref="E52:P52">
    <cfRule type="cellIs" dxfId="849" priority="217" operator="equal">
      <formula>0</formula>
    </cfRule>
  </conditionalFormatting>
  <conditionalFormatting sqref="E54:P54">
    <cfRule type="cellIs" dxfId="848" priority="179" operator="equal">
      <formula>0</formula>
    </cfRule>
  </conditionalFormatting>
  <conditionalFormatting sqref="E56:P56">
    <cfRule type="cellIs" dxfId="847" priority="142" operator="equal">
      <formula>0</formula>
    </cfRule>
  </conditionalFormatting>
  <conditionalFormatting sqref="E61:R61">
    <cfRule type="cellIs" dxfId="846" priority="129" operator="between">
      <formula>75</formula>
      <formula>84.9999999</formula>
    </cfRule>
    <cfRule type="cellIs" dxfId="845" priority="130" operator="lessThan">
      <formula>74.99999999</formula>
    </cfRule>
    <cfRule type="cellIs" dxfId="844" priority="131" operator="greaterThan">
      <formula>85</formula>
    </cfRule>
  </conditionalFormatting>
  <conditionalFormatting sqref="F11">
    <cfRule type="cellIs" dxfId="843" priority="1273" operator="lessThanOrEqual">
      <formula>75</formula>
    </cfRule>
    <cfRule type="cellIs" dxfId="842" priority="1274" stopIfTrue="1" operator="between">
      <formula>75.000001</formula>
      <formula>84.99999999</formula>
    </cfRule>
    <cfRule type="cellIs" dxfId="841" priority="1275" operator="greaterThanOrEqual">
      <formula>85</formula>
    </cfRule>
  </conditionalFormatting>
  <conditionalFormatting sqref="F7">
    <cfRule type="cellIs" dxfId="840" priority="1240" operator="lessThanOrEqual">
      <formula>75</formula>
    </cfRule>
    <cfRule type="cellIs" dxfId="839" priority="1241" stopIfTrue="1" operator="between">
      <formula>75.000001</formula>
      <formula>84.99999999</formula>
    </cfRule>
    <cfRule type="cellIs" dxfId="838" priority="1242" operator="greaterThanOrEqual">
      <formula>85</formula>
    </cfRule>
  </conditionalFormatting>
  <conditionalFormatting sqref="F9">
    <cfRule type="cellIs" dxfId="837" priority="1136" operator="equal">
      <formula>0</formula>
    </cfRule>
    <cfRule type="cellIs" dxfId="836" priority="1137" operator="lessThanOrEqual">
      <formula>79.999</formula>
    </cfRule>
    <cfRule type="cellIs" dxfId="835" priority="1138" stopIfTrue="1" operator="between">
      <formula>80</formula>
      <formula>89.999</formula>
    </cfRule>
    <cfRule type="cellIs" dxfId="834" priority="1139" operator="greaterThanOrEqual">
      <formula>90</formula>
    </cfRule>
    <cfRule type="cellIs" dxfId="833" priority="1140" operator="lessThanOrEqual">
      <formula>75</formula>
    </cfRule>
    <cfRule type="cellIs" dxfId="832" priority="1141" stopIfTrue="1" operator="between">
      <formula>75.000001</formula>
      <formula>84.99999999</formula>
    </cfRule>
    <cfRule type="cellIs" dxfId="831" priority="1142" operator="greaterThanOrEqual">
      <formula>85</formula>
    </cfRule>
  </conditionalFormatting>
  <conditionalFormatting sqref="F15">
    <cfRule type="cellIs" dxfId="830" priority="1083" operator="lessThanOrEqual">
      <formula>75</formula>
    </cfRule>
    <cfRule type="cellIs" dxfId="829" priority="1084" stopIfTrue="1" operator="between">
      <formula>75.000001</formula>
      <formula>84.99999999</formula>
    </cfRule>
    <cfRule type="cellIs" dxfId="828" priority="1085" operator="greaterThanOrEqual">
      <formula>85</formula>
    </cfRule>
  </conditionalFormatting>
  <conditionalFormatting sqref="F13">
    <cfRule type="cellIs" dxfId="827" priority="1012" operator="equal">
      <formula>0</formula>
    </cfRule>
    <cfRule type="cellIs" dxfId="826" priority="1013" operator="lessThanOrEqual">
      <formula>79.999</formula>
    </cfRule>
    <cfRule type="cellIs" dxfId="825" priority="1014" stopIfTrue="1" operator="between">
      <formula>80</formula>
      <formula>89.999</formula>
    </cfRule>
    <cfRule type="cellIs" dxfId="824" priority="1015" operator="greaterThanOrEqual">
      <formula>90</formula>
    </cfRule>
    <cfRule type="cellIs" dxfId="823" priority="1016" operator="lessThanOrEqual">
      <formula>75</formula>
    </cfRule>
    <cfRule type="cellIs" dxfId="822" priority="1017" stopIfTrue="1" operator="between">
      <formula>75.000001</formula>
      <formula>84.99999999</formula>
    </cfRule>
    <cfRule type="cellIs" dxfId="821" priority="1018" operator="greaterThanOrEqual">
      <formula>85</formula>
    </cfRule>
  </conditionalFormatting>
  <conditionalFormatting sqref="F17">
    <cfRule type="cellIs" dxfId="820" priority="944" operator="lessThanOrEqual">
      <formula>75</formula>
    </cfRule>
    <cfRule type="cellIs" dxfId="819" priority="945" stopIfTrue="1" operator="between">
      <formula>75.000001</formula>
      <formula>84.99999999</formula>
    </cfRule>
    <cfRule type="cellIs" dxfId="818" priority="946" operator="greaterThanOrEqual">
      <formula>85</formula>
    </cfRule>
  </conditionalFormatting>
  <conditionalFormatting sqref="F19">
    <cfRule type="cellIs" dxfId="817" priority="892" operator="lessThanOrEqual">
      <formula>75</formula>
    </cfRule>
    <cfRule type="cellIs" dxfId="816" priority="893" stopIfTrue="1" operator="between">
      <formula>75.000001</formula>
      <formula>84.99999999</formula>
    </cfRule>
    <cfRule type="cellIs" dxfId="815" priority="894" operator="greaterThanOrEqual">
      <formula>85</formula>
    </cfRule>
  </conditionalFormatting>
  <conditionalFormatting sqref="F21">
    <cfRule type="cellIs" dxfId="814" priority="801" operator="equal">
      <formula>0</formula>
    </cfRule>
    <cfRule type="cellIs" dxfId="813" priority="802" operator="lessThanOrEqual">
      <formula>79.999</formula>
    </cfRule>
    <cfRule type="cellIs" dxfId="812" priority="803" stopIfTrue="1" operator="between">
      <formula>80</formula>
      <formula>89.999</formula>
    </cfRule>
    <cfRule type="cellIs" dxfId="811" priority="804" operator="greaterThanOrEqual">
      <formula>90</formula>
    </cfRule>
    <cfRule type="cellIs" dxfId="810" priority="805" operator="lessThanOrEqual">
      <formula>75</formula>
    </cfRule>
    <cfRule type="cellIs" dxfId="809" priority="806" stopIfTrue="1" operator="between">
      <formula>75.000001</formula>
      <formula>84.99999999</formula>
    </cfRule>
    <cfRule type="cellIs" dxfId="808" priority="807" operator="greaterThanOrEqual">
      <formula>85</formula>
    </cfRule>
  </conditionalFormatting>
  <conditionalFormatting sqref="F24">
    <cfRule type="cellIs" dxfId="807" priority="732" operator="lessThanOrEqual">
      <formula>79.999</formula>
    </cfRule>
    <cfRule type="cellIs" dxfId="806" priority="733" stopIfTrue="1" operator="between">
      <formula>80</formula>
      <formula>89.999</formula>
    </cfRule>
    <cfRule type="cellIs" dxfId="805" priority="734" operator="greaterThanOrEqual">
      <formula>90</formula>
    </cfRule>
    <cfRule type="cellIs" dxfId="804" priority="765" operator="lessThanOrEqual">
      <formula>79.999</formula>
    </cfRule>
    <cfRule type="cellIs" dxfId="803" priority="766" stopIfTrue="1" operator="between">
      <formula>80</formula>
      <formula>89.999</formula>
    </cfRule>
    <cfRule type="cellIs" dxfId="802" priority="767" operator="greaterThanOrEqual">
      <formula>90</formula>
    </cfRule>
  </conditionalFormatting>
  <conditionalFormatting sqref="F26">
    <cfRule type="cellIs" dxfId="801" priority="702" operator="lessThanOrEqual">
      <formula>79.999</formula>
    </cfRule>
    <cfRule type="cellIs" dxfId="800" priority="703" stopIfTrue="1" operator="between">
      <formula>80</formula>
      <formula>89.999</formula>
    </cfRule>
    <cfRule type="cellIs" dxfId="799" priority="704" operator="greaterThanOrEqual">
      <formula>90</formula>
    </cfRule>
  </conditionalFormatting>
  <conditionalFormatting sqref="F28">
    <cfRule type="cellIs" dxfId="798" priority="665" operator="lessThanOrEqual">
      <formula>79.999</formula>
    </cfRule>
    <cfRule type="cellIs" dxfId="797" priority="666" stopIfTrue="1" operator="between">
      <formula>80</formula>
      <formula>89.999</formula>
    </cfRule>
    <cfRule type="cellIs" dxfId="796" priority="667" operator="greaterThanOrEqual">
      <formula>90</formula>
    </cfRule>
  </conditionalFormatting>
  <conditionalFormatting sqref="F30">
    <cfRule type="cellIs" dxfId="795" priority="628" operator="lessThanOrEqual">
      <formula>79.999</formula>
    </cfRule>
    <cfRule type="cellIs" dxfId="794" priority="629" stopIfTrue="1" operator="between">
      <formula>80</formula>
      <formula>89.999</formula>
    </cfRule>
    <cfRule type="cellIs" dxfId="793" priority="630" operator="greaterThanOrEqual">
      <formula>90</formula>
    </cfRule>
  </conditionalFormatting>
  <conditionalFormatting sqref="F32">
    <cfRule type="cellIs" dxfId="792" priority="588" operator="lessThanOrEqual">
      <formula>79.999</formula>
    </cfRule>
    <cfRule type="cellIs" dxfId="791" priority="589" stopIfTrue="1" operator="between">
      <formula>80</formula>
      <formula>89.999</formula>
    </cfRule>
    <cfRule type="cellIs" dxfId="790" priority="590" operator="greaterThanOrEqual">
      <formula>90</formula>
    </cfRule>
  </conditionalFormatting>
  <conditionalFormatting sqref="F34">
    <cfRule type="cellIs" dxfId="789" priority="554" operator="lessThanOrEqual">
      <formula>79.999</formula>
    </cfRule>
    <cfRule type="cellIs" dxfId="788" priority="555" stopIfTrue="1" operator="between">
      <formula>80</formula>
      <formula>89.999</formula>
    </cfRule>
    <cfRule type="cellIs" dxfId="787" priority="556" operator="greaterThanOrEqual">
      <formula>90</formula>
    </cfRule>
  </conditionalFormatting>
  <conditionalFormatting sqref="F36">
    <cfRule type="cellIs" dxfId="786" priority="517" operator="lessThanOrEqual">
      <formula>79.999</formula>
    </cfRule>
    <cfRule type="cellIs" dxfId="785" priority="518" stopIfTrue="1" operator="between">
      <formula>80</formula>
      <formula>89.999</formula>
    </cfRule>
    <cfRule type="cellIs" dxfId="784" priority="519" operator="greaterThanOrEqual">
      <formula>90</formula>
    </cfRule>
  </conditionalFormatting>
  <conditionalFormatting sqref="F38">
    <cfRule type="cellIs" dxfId="783" priority="479" operator="lessThanOrEqual">
      <formula>79.999</formula>
    </cfRule>
    <cfRule type="cellIs" dxfId="782" priority="480" stopIfTrue="1" operator="between">
      <formula>80</formula>
      <formula>89.999</formula>
    </cfRule>
    <cfRule type="cellIs" dxfId="781" priority="481" operator="greaterThanOrEqual">
      <formula>90</formula>
    </cfRule>
  </conditionalFormatting>
  <conditionalFormatting sqref="F40">
    <cfRule type="cellIs" dxfId="780" priority="442" operator="lessThanOrEqual">
      <formula>79.999</formula>
    </cfRule>
    <cfRule type="cellIs" dxfId="779" priority="443" stopIfTrue="1" operator="between">
      <formula>80</formula>
      <formula>89.999</formula>
    </cfRule>
    <cfRule type="cellIs" dxfId="778" priority="444" operator="greaterThanOrEqual">
      <formula>90</formula>
    </cfRule>
  </conditionalFormatting>
  <conditionalFormatting sqref="F42">
    <cfRule type="cellIs" dxfId="777" priority="406" operator="lessThanOrEqual">
      <formula>79.999</formula>
    </cfRule>
    <cfRule type="cellIs" dxfId="776" priority="407" stopIfTrue="1" operator="between">
      <formula>80</formula>
      <formula>89.999</formula>
    </cfRule>
    <cfRule type="cellIs" dxfId="775" priority="408" operator="greaterThanOrEqual">
      <formula>90</formula>
    </cfRule>
  </conditionalFormatting>
  <conditionalFormatting sqref="F44">
    <cfRule type="cellIs" dxfId="774" priority="369" operator="lessThanOrEqual">
      <formula>79.999</formula>
    </cfRule>
    <cfRule type="cellIs" dxfId="773" priority="370" stopIfTrue="1" operator="between">
      <formula>80</formula>
      <formula>89.999</formula>
    </cfRule>
    <cfRule type="cellIs" dxfId="772" priority="371" operator="greaterThanOrEqual">
      <formula>90</formula>
    </cfRule>
  </conditionalFormatting>
  <conditionalFormatting sqref="F46">
    <cfRule type="cellIs" dxfId="771" priority="332" operator="lessThanOrEqual">
      <formula>79.999</formula>
    </cfRule>
    <cfRule type="cellIs" dxfId="770" priority="333" stopIfTrue="1" operator="between">
      <formula>80</formula>
      <formula>89.999</formula>
    </cfRule>
    <cfRule type="cellIs" dxfId="769" priority="334" operator="greaterThanOrEqual">
      <formula>90</formula>
    </cfRule>
  </conditionalFormatting>
  <conditionalFormatting sqref="F48">
    <cfRule type="cellIs" dxfId="768" priority="294" operator="lessThanOrEqual">
      <formula>79.999</formula>
    </cfRule>
    <cfRule type="cellIs" dxfId="767" priority="295" stopIfTrue="1" operator="between">
      <formula>80</formula>
      <formula>89.999</formula>
    </cfRule>
    <cfRule type="cellIs" dxfId="766" priority="296" operator="greaterThanOrEqual">
      <formula>90</formula>
    </cfRule>
  </conditionalFormatting>
  <conditionalFormatting sqref="F50">
    <cfRule type="cellIs" dxfId="765" priority="257" operator="lessThanOrEqual">
      <formula>79.999</formula>
    </cfRule>
    <cfRule type="cellIs" dxfId="764" priority="258" stopIfTrue="1" operator="between">
      <formula>80</formula>
      <formula>89.999</formula>
    </cfRule>
    <cfRule type="cellIs" dxfId="763" priority="259" operator="greaterThanOrEqual">
      <formula>90</formula>
    </cfRule>
  </conditionalFormatting>
  <conditionalFormatting sqref="F52">
    <cfRule type="cellIs" dxfId="762" priority="218" operator="lessThanOrEqual">
      <formula>79.999</formula>
    </cfRule>
    <cfRule type="cellIs" dxfId="761" priority="219" stopIfTrue="1" operator="between">
      <formula>80</formula>
      <formula>89.999</formula>
    </cfRule>
    <cfRule type="cellIs" dxfId="760" priority="220" operator="greaterThanOrEqual">
      <formula>90</formula>
    </cfRule>
  </conditionalFormatting>
  <conditionalFormatting sqref="F54">
    <cfRule type="cellIs" dxfId="759" priority="181" operator="lessThanOrEqual">
      <formula>79.999</formula>
    </cfRule>
    <cfRule type="cellIs" dxfId="758" priority="182" stopIfTrue="1" operator="between">
      <formula>80</formula>
      <formula>89.999</formula>
    </cfRule>
    <cfRule type="cellIs" dxfId="757" priority="183" operator="greaterThanOrEqual">
      <formula>90</formula>
    </cfRule>
  </conditionalFormatting>
  <conditionalFormatting sqref="F56">
    <cfRule type="cellIs" dxfId="756" priority="146" operator="lessThanOrEqual">
      <formula>79.999</formula>
    </cfRule>
    <cfRule type="cellIs" dxfId="755" priority="147" stopIfTrue="1" operator="between">
      <formula>80</formula>
      <formula>89.999</formula>
    </cfRule>
    <cfRule type="cellIs" dxfId="754" priority="148" operator="greaterThanOrEqual">
      <formula>90</formula>
    </cfRule>
  </conditionalFormatting>
  <conditionalFormatting sqref="G11">
    <cfRule type="cellIs" dxfId="753" priority="1267" operator="between">
      <formula>0</formula>
      <formula>1.4999999</formula>
    </cfRule>
    <cfRule type="cellIs" dxfId="752" priority="1268" operator="between">
      <formula>1.5</formula>
      <formula>1.9999999</formula>
    </cfRule>
    <cfRule type="cellIs" dxfId="751" priority="1269" operator="greaterThanOrEqual">
      <formula>2</formula>
    </cfRule>
  </conditionalFormatting>
  <conditionalFormatting sqref="G7">
    <cfRule type="cellIs" dxfId="750" priority="1219" operator="between">
      <formula>0</formula>
      <formula>1.4999999</formula>
    </cfRule>
    <cfRule type="cellIs" dxfId="749" priority="1220" operator="between">
      <formula>1.5</formula>
      <formula>1.9999999</formula>
    </cfRule>
    <cfRule type="cellIs" dxfId="748" priority="1221" operator="greaterThanOrEqual">
      <formula>2</formula>
    </cfRule>
    <cfRule type="cellIs" dxfId="747" priority="1236" operator="between">
      <formula>0</formula>
      <formula>1.4999999</formula>
    </cfRule>
    <cfRule type="cellIs" dxfId="746" priority="1237" operator="between">
      <formula>1.5</formula>
      <formula>1.9999999</formula>
    </cfRule>
  </conditionalFormatting>
  <conditionalFormatting sqref="G9">
    <cfRule type="cellIs" dxfId="745" priority="1123" operator="between">
      <formula>0</formula>
      <formula>1.4999999</formula>
    </cfRule>
    <cfRule type="cellIs" dxfId="744" priority="1124" operator="between">
      <formula>1.5</formula>
      <formula>1.9999999</formula>
    </cfRule>
    <cfRule type="cellIs" dxfId="743" priority="1125" operator="greaterThanOrEqual">
      <formula>2</formula>
    </cfRule>
  </conditionalFormatting>
  <conditionalFormatting sqref="G15">
    <cfRule type="cellIs" dxfId="742" priority="1077" operator="between">
      <formula>0</formula>
      <formula>1.4999999</formula>
    </cfRule>
    <cfRule type="cellIs" dxfId="741" priority="1078" operator="between">
      <formula>1.5</formula>
      <formula>1.9999999</formula>
    </cfRule>
    <cfRule type="cellIs" dxfId="740" priority="1079" operator="greaterThanOrEqual">
      <formula>2</formula>
    </cfRule>
  </conditionalFormatting>
  <conditionalFormatting sqref="G13">
    <cfRule type="cellIs" dxfId="739" priority="1041" operator="between">
      <formula>0</formula>
      <formula>1.4999999</formula>
    </cfRule>
    <cfRule type="cellIs" dxfId="738" priority="1042" operator="between">
      <formula>1.5</formula>
      <formula>1.9999999</formula>
    </cfRule>
    <cfRule type="cellIs" dxfId="737" priority="1043" operator="greaterThanOrEqual">
      <formula>2</formula>
    </cfRule>
  </conditionalFormatting>
  <conditionalFormatting sqref="G17">
    <cfRule type="cellIs" dxfId="736" priority="938" operator="between">
      <formula>0</formula>
      <formula>1.4999999</formula>
    </cfRule>
    <cfRule type="cellIs" dxfId="735" priority="939" operator="between">
      <formula>1.5</formula>
      <formula>1.9999999</formula>
    </cfRule>
    <cfRule type="cellIs" dxfId="734" priority="940" operator="greaterThanOrEqual">
      <formula>2</formula>
    </cfRule>
  </conditionalFormatting>
  <conditionalFormatting sqref="G19">
    <cfRule type="cellIs" dxfId="733" priority="886" operator="between">
      <formula>0</formula>
      <formula>1.4999999</formula>
    </cfRule>
    <cfRule type="cellIs" dxfId="732" priority="887" operator="between">
      <formula>1.5</formula>
      <formula>1.9999999</formula>
    </cfRule>
    <cfRule type="cellIs" dxfId="731" priority="888" operator="greaterThanOrEqual">
      <formula>2</formula>
    </cfRule>
  </conditionalFormatting>
  <conditionalFormatting sqref="G21">
    <cfRule type="cellIs" dxfId="730" priority="787" operator="greaterThanOrEqual">
      <formula>2</formula>
    </cfRule>
    <cfRule type="cellIs" dxfId="729" priority="788" operator="between">
      <formula>0</formula>
      <formula>1.4999999</formula>
    </cfRule>
    <cfRule type="cellIs" dxfId="728" priority="789" operator="between">
      <formula>1.5</formula>
      <formula>1.9999999</formula>
    </cfRule>
  </conditionalFormatting>
  <conditionalFormatting sqref="H11">
    <cfRule type="cellIs" dxfId="727" priority="1276" operator="lessThanOrEqual">
      <formula>79.999</formula>
    </cfRule>
    <cfRule type="cellIs" dxfId="726" priority="1277" stopIfTrue="1" operator="between">
      <formula>80</formula>
      <formula>89.999</formula>
    </cfRule>
    <cfRule type="cellIs" dxfId="725" priority="1278" operator="greaterThanOrEqual">
      <formula>90</formula>
    </cfRule>
    <cfRule type="cellIs" dxfId="724" priority="1279" operator="lessThanOrEqual">
      <formula>75</formula>
    </cfRule>
    <cfRule type="cellIs" dxfId="723" priority="1280" stopIfTrue="1" operator="between">
      <formula>75.000001</formula>
      <formula>84.99999999</formula>
    </cfRule>
    <cfRule type="cellIs" dxfId="722" priority="1281" operator="greaterThanOrEqual">
      <formula>85</formula>
    </cfRule>
  </conditionalFormatting>
  <conditionalFormatting sqref="H7">
    <cfRule type="cellIs" dxfId="721" priority="1189" operator="lessThanOrEqual">
      <formula>75</formula>
    </cfRule>
    <cfRule type="cellIs" dxfId="720" priority="1190" stopIfTrue="1" operator="between">
      <formula>75.000001</formula>
      <formula>84.99999999</formula>
    </cfRule>
    <cfRule type="cellIs" dxfId="719" priority="1191" operator="greaterThanOrEqual">
      <formula>85</formula>
    </cfRule>
  </conditionalFormatting>
  <conditionalFormatting sqref="H9">
    <cfRule type="cellIs" dxfId="718" priority="1126" operator="equal">
      <formula>0</formula>
    </cfRule>
    <cfRule type="cellIs" dxfId="717" priority="1127" operator="lessThanOrEqual">
      <formula>79.999</formula>
    </cfRule>
    <cfRule type="cellIs" dxfId="716" priority="1128" stopIfTrue="1" operator="between">
      <formula>80</formula>
      <formula>89.999</formula>
    </cfRule>
    <cfRule type="cellIs" dxfId="715" priority="1129" operator="greaterThanOrEqual">
      <formula>90</formula>
    </cfRule>
    <cfRule type="cellIs" dxfId="714" priority="1130" operator="lessThanOrEqual">
      <formula>75</formula>
    </cfRule>
    <cfRule type="cellIs" dxfId="713" priority="1131" stopIfTrue="1" operator="between">
      <formula>75.000001</formula>
      <formula>84.99999999</formula>
    </cfRule>
    <cfRule type="cellIs" dxfId="712" priority="1132" operator="greaterThanOrEqual">
      <formula>85</formula>
    </cfRule>
  </conditionalFormatting>
  <conditionalFormatting sqref="H15">
    <cfRule type="cellIs" dxfId="711" priority="1086" operator="lessThanOrEqual">
      <formula>79.999</formula>
    </cfRule>
    <cfRule type="cellIs" dxfId="710" priority="1087" stopIfTrue="1" operator="between">
      <formula>80</formula>
      <formula>89.999</formula>
    </cfRule>
    <cfRule type="cellIs" dxfId="709" priority="1088" operator="greaterThanOrEqual">
      <formula>90</formula>
    </cfRule>
    <cfRule type="cellIs" dxfId="708" priority="1089" operator="lessThanOrEqual">
      <formula>75</formula>
    </cfRule>
    <cfRule type="cellIs" dxfId="707" priority="1090" stopIfTrue="1" operator="between">
      <formula>75.000001</formula>
      <formula>84.99999999</formula>
    </cfRule>
    <cfRule type="cellIs" dxfId="706" priority="1091" operator="greaterThanOrEqual">
      <formula>85</formula>
    </cfRule>
  </conditionalFormatting>
  <conditionalFormatting sqref="H13">
    <cfRule type="cellIs" dxfId="705" priority="1019" operator="equal">
      <formula>0</formula>
    </cfRule>
    <cfRule type="cellIs" dxfId="704" priority="1020" operator="lessThanOrEqual">
      <formula>79.999</formula>
    </cfRule>
    <cfRule type="cellIs" dxfId="703" priority="1021" stopIfTrue="1" operator="between">
      <formula>80</formula>
      <formula>89.999</formula>
    </cfRule>
    <cfRule type="cellIs" dxfId="702" priority="1022" operator="greaterThanOrEqual">
      <formula>90</formula>
    </cfRule>
    <cfRule type="cellIs" dxfId="701" priority="1023" operator="lessThanOrEqual">
      <formula>75</formula>
    </cfRule>
    <cfRule type="cellIs" dxfId="700" priority="1024" stopIfTrue="1" operator="between">
      <formula>75.000001</formula>
      <formula>84.99999999</formula>
    </cfRule>
    <cfRule type="cellIs" dxfId="699" priority="1025" operator="greaterThanOrEqual">
      <formula>85</formula>
    </cfRule>
  </conditionalFormatting>
  <conditionalFormatting sqref="H17">
    <cfRule type="cellIs" dxfId="698" priority="947" operator="lessThanOrEqual">
      <formula>79.999</formula>
    </cfRule>
    <cfRule type="cellIs" dxfId="697" priority="948" stopIfTrue="1" operator="between">
      <formula>80</formula>
      <formula>89.999</formula>
    </cfRule>
    <cfRule type="cellIs" dxfId="696" priority="949" operator="greaterThanOrEqual">
      <formula>90</formula>
    </cfRule>
    <cfRule type="cellIs" dxfId="695" priority="950" operator="lessThanOrEqual">
      <formula>75</formula>
    </cfRule>
    <cfRule type="cellIs" dxfId="694" priority="951" stopIfTrue="1" operator="between">
      <formula>75.000001</formula>
      <formula>84.99999999</formula>
    </cfRule>
    <cfRule type="cellIs" dxfId="693" priority="952" operator="greaterThanOrEqual">
      <formula>85</formula>
    </cfRule>
  </conditionalFormatting>
  <conditionalFormatting sqref="H19">
    <cfRule type="cellIs" dxfId="692" priority="864" operator="equal">
      <formula>0</formula>
    </cfRule>
    <cfRule type="cellIs" dxfId="691" priority="865" operator="lessThanOrEqual">
      <formula>79.999</formula>
    </cfRule>
    <cfRule type="cellIs" dxfId="690" priority="866" stopIfTrue="1" operator="between">
      <formula>80</formula>
      <formula>89.999</formula>
    </cfRule>
    <cfRule type="cellIs" dxfId="689" priority="867" operator="greaterThanOrEqual">
      <formula>90</formula>
    </cfRule>
    <cfRule type="cellIs" dxfId="688" priority="868" operator="lessThanOrEqual">
      <formula>75</formula>
    </cfRule>
    <cfRule type="cellIs" dxfId="687" priority="869" stopIfTrue="1" operator="between">
      <formula>75.000001</formula>
      <formula>84.99999999</formula>
    </cfRule>
    <cfRule type="cellIs" dxfId="686" priority="870" operator="greaterThanOrEqual">
      <formula>85</formula>
    </cfRule>
  </conditionalFormatting>
  <conditionalFormatting sqref="H21">
    <cfRule type="cellIs" dxfId="685" priority="790" operator="equal">
      <formula>0</formula>
    </cfRule>
    <cfRule type="cellIs" dxfId="684" priority="791" operator="lessThanOrEqual">
      <formula>79.999</formula>
    </cfRule>
    <cfRule type="cellIs" dxfId="683" priority="792" stopIfTrue="1" operator="between">
      <formula>80</formula>
      <formula>89.999</formula>
    </cfRule>
    <cfRule type="cellIs" dxfId="682" priority="793" operator="greaterThanOrEqual">
      <formula>90</formula>
    </cfRule>
    <cfRule type="cellIs" dxfId="681" priority="794" operator="lessThanOrEqual">
      <formula>75</formula>
    </cfRule>
    <cfRule type="cellIs" dxfId="680" priority="795" stopIfTrue="1" operator="between">
      <formula>75.000001</formula>
      <formula>84.99999999</formula>
    </cfRule>
    <cfRule type="cellIs" dxfId="679" priority="796" operator="greaterThanOrEqual">
      <formula>85</formula>
    </cfRule>
  </conditionalFormatting>
  <conditionalFormatting sqref="H24">
    <cfRule type="cellIs" dxfId="678" priority="735" operator="lessThanOrEqual">
      <formula>79.999</formula>
    </cfRule>
    <cfRule type="cellIs" dxfId="677" priority="736" stopIfTrue="1" operator="between">
      <formula>80</formula>
      <formula>89.999</formula>
    </cfRule>
    <cfRule type="cellIs" dxfId="676" priority="737" operator="greaterThanOrEqual">
      <formula>90</formula>
    </cfRule>
    <cfRule type="cellIs" dxfId="675" priority="768" operator="lessThanOrEqual">
      <formula>79.999</formula>
    </cfRule>
    <cfRule type="cellIs" dxfId="674" priority="769" stopIfTrue="1" operator="between">
      <formula>80</formula>
      <formula>89.999</formula>
    </cfRule>
    <cfRule type="cellIs" dxfId="673" priority="770" operator="greaterThanOrEqual">
      <formula>90</formula>
    </cfRule>
  </conditionalFormatting>
  <conditionalFormatting sqref="H26">
    <cfRule type="cellIs" dxfId="672" priority="705" operator="lessThanOrEqual">
      <formula>79.999</formula>
    </cfRule>
    <cfRule type="cellIs" dxfId="671" priority="706" stopIfTrue="1" operator="between">
      <formula>80</formula>
      <formula>89.999</formula>
    </cfRule>
    <cfRule type="cellIs" dxfId="670" priority="707" operator="greaterThanOrEqual">
      <formula>90</formula>
    </cfRule>
  </conditionalFormatting>
  <conditionalFormatting sqref="H28">
    <cfRule type="cellIs" dxfId="669" priority="668" operator="lessThanOrEqual">
      <formula>79.999</formula>
    </cfRule>
    <cfRule type="cellIs" dxfId="668" priority="669" stopIfTrue="1" operator="between">
      <formula>80</formula>
      <formula>89.999</formula>
    </cfRule>
    <cfRule type="cellIs" dxfId="667" priority="670" operator="greaterThanOrEqual">
      <formula>90</formula>
    </cfRule>
  </conditionalFormatting>
  <conditionalFormatting sqref="H30">
    <cfRule type="cellIs" dxfId="666" priority="631" operator="lessThanOrEqual">
      <formula>79.999</formula>
    </cfRule>
    <cfRule type="cellIs" dxfId="665" priority="632" stopIfTrue="1" operator="between">
      <formula>80</formula>
      <formula>89.999</formula>
    </cfRule>
    <cfRule type="cellIs" dxfId="664" priority="633" operator="greaterThanOrEqual">
      <formula>90</formula>
    </cfRule>
  </conditionalFormatting>
  <conditionalFormatting sqref="H32">
    <cfRule type="cellIs" dxfId="663" priority="591" operator="lessThanOrEqual">
      <formula>79.999</formula>
    </cfRule>
    <cfRule type="cellIs" dxfId="662" priority="592" stopIfTrue="1" operator="between">
      <formula>80</formula>
      <formula>89.999</formula>
    </cfRule>
    <cfRule type="cellIs" dxfId="661" priority="593" operator="greaterThanOrEqual">
      <formula>90</formula>
    </cfRule>
  </conditionalFormatting>
  <conditionalFormatting sqref="H34">
    <cfRule type="cellIs" dxfId="660" priority="557" operator="lessThanOrEqual">
      <formula>79.999</formula>
    </cfRule>
    <cfRule type="cellIs" dxfId="659" priority="558" stopIfTrue="1" operator="between">
      <formula>80</formula>
      <formula>89.999</formula>
    </cfRule>
    <cfRule type="cellIs" dxfId="658" priority="559" operator="greaterThanOrEqual">
      <formula>90</formula>
    </cfRule>
  </conditionalFormatting>
  <conditionalFormatting sqref="H36">
    <cfRule type="cellIs" dxfId="657" priority="520" operator="lessThanOrEqual">
      <formula>79.999</formula>
    </cfRule>
    <cfRule type="cellIs" dxfId="656" priority="521" stopIfTrue="1" operator="between">
      <formula>80</formula>
      <formula>89.999</formula>
    </cfRule>
    <cfRule type="cellIs" dxfId="655" priority="522" operator="greaterThanOrEqual">
      <formula>90</formula>
    </cfRule>
  </conditionalFormatting>
  <conditionalFormatting sqref="H38">
    <cfRule type="cellIs" dxfId="654" priority="482" operator="lessThanOrEqual">
      <formula>79.999</formula>
    </cfRule>
    <cfRule type="cellIs" dxfId="653" priority="483" stopIfTrue="1" operator="between">
      <formula>80</formula>
      <formula>89.999</formula>
    </cfRule>
    <cfRule type="cellIs" dxfId="652" priority="484" operator="greaterThanOrEqual">
      <formula>90</formula>
    </cfRule>
  </conditionalFormatting>
  <conditionalFormatting sqref="H40">
    <cfRule type="cellIs" dxfId="651" priority="445" operator="lessThanOrEqual">
      <formula>79.999</formula>
    </cfRule>
    <cfRule type="cellIs" dxfId="650" priority="446" stopIfTrue="1" operator="between">
      <formula>80</formula>
      <formula>89.999</formula>
    </cfRule>
    <cfRule type="cellIs" dxfId="649" priority="447" operator="greaterThanOrEqual">
      <formula>90</formula>
    </cfRule>
  </conditionalFormatting>
  <conditionalFormatting sqref="H42">
    <cfRule type="cellIs" dxfId="648" priority="409" operator="lessThanOrEqual">
      <formula>79.999</formula>
    </cfRule>
    <cfRule type="cellIs" dxfId="647" priority="410" stopIfTrue="1" operator="between">
      <formula>80</formula>
      <formula>89.999</formula>
    </cfRule>
    <cfRule type="cellIs" dxfId="646" priority="411" operator="greaterThanOrEqual">
      <formula>90</formula>
    </cfRule>
  </conditionalFormatting>
  <conditionalFormatting sqref="H44">
    <cfRule type="cellIs" dxfId="645" priority="372" operator="lessThanOrEqual">
      <formula>79.999</formula>
    </cfRule>
    <cfRule type="cellIs" dxfId="644" priority="373" stopIfTrue="1" operator="between">
      <formula>80</formula>
      <formula>89.999</formula>
    </cfRule>
    <cfRule type="cellIs" dxfId="643" priority="374" operator="greaterThanOrEqual">
      <formula>90</formula>
    </cfRule>
  </conditionalFormatting>
  <conditionalFormatting sqref="H46">
    <cfRule type="cellIs" dxfId="642" priority="335" operator="lessThanOrEqual">
      <formula>79.999</formula>
    </cfRule>
    <cfRule type="cellIs" dxfId="641" priority="336" stopIfTrue="1" operator="between">
      <formula>80</formula>
      <formula>89.999</formula>
    </cfRule>
    <cfRule type="cellIs" dxfId="640" priority="337" operator="greaterThanOrEqual">
      <formula>90</formula>
    </cfRule>
  </conditionalFormatting>
  <conditionalFormatting sqref="H48">
    <cfRule type="cellIs" dxfId="639" priority="297" operator="lessThanOrEqual">
      <formula>79.999</formula>
    </cfRule>
    <cfRule type="cellIs" dxfId="638" priority="298" stopIfTrue="1" operator="between">
      <formula>80</formula>
      <formula>89.999</formula>
    </cfRule>
    <cfRule type="cellIs" dxfId="637" priority="299" operator="greaterThanOrEqual">
      <formula>90</formula>
    </cfRule>
  </conditionalFormatting>
  <conditionalFormatting sqref="H50">
    <cfRule type="cellIs" dxfId="636" priority="260" operator="lessThanOrEqual">
      <formula>79.999</formula>
    </cfRule>
    <cfRule type="cellIs" dxfId="635" priority="261" stopIfTrue="1" operator="between">
      <formula>80</formula>
      <formula>89.999</formula>
    </cfRule>
    <cfRule type="cellIs" dxfId="634" priority="262" operator="greaterThanOrEqual">
      <formula>90</formula>
    </cfRule>
  </conditionalFormatting>
  <conditionalFormatting sqref="H52">
    <cfRule type="cellIs" dxfId="633" priority="221" operator="lessThanOrEqual">
      <formula>79.999</formula>
    </cfRule>
    <cfRule type="cellIs" dxfId="632" priority="222" stopIfTrue="1" operator="between">
      <formula>80</formula>
      <formula>89.999</formula>
    </cfRule>
    <cfRule type="cellIs" dxfId="631" priority="223" operator="greaterThanOrEqual">
      <formula>90</formula>
    </cfRule>
  </conditionalFormatting>
  <conditionalFormatting sqref="H54">
    <cfRule type="cellIs" dxfId="630" priority="184" operator="lessThanOrEqual">
      <formula>79.999</formula>
    </cfRule>
    <cfRule type="cellIs" dxfId="629" priority="185" stopIfTrue="1" operator="between">
      <formula>80</formula>
      <formula>89.999</formula>
    </cfRule>
    <cfRule type="cellIs" dxfId="628" priority="186" operator="greaterThanOrEqual">
      <formula>90</formula>
    </cfRule>
  </conditionalFormatting>
  <conditionalFormatting sqref="H56">
    <cfRule type="cellIs" dxfId="627" priority="149" operator="lessThanOrEqual">
      <formula>79.999</formula>
    </cfRule>
    <cfRule type="cellIs" dxfId="626" priority="150" stopIfTrue="1" operator="between">
      <formula>80</formula>
      <formula>89.999</formula>
    </cfRule>
    <cfRule type="cellIs" dxfId="625" priority="151" operator="greaterThanOrEqual">
      <formula>90</formula>
    </cfRule>
  </conditionalFormatting>
  <conditionalFormatting sqref="I11">
    <cfRule type="cellIs" dxfId="624" priority="1264" operator="between">
      <formula>0</formula>
      <formula>1.4999999</formula>
    </cfRule>
    <cfRule type="cellIs" dxfId="623" priority="1265" operator="between">
      <formula>1.5</formula>
      <formula>1.9999999</formula>
    </cfRule>
    <cfRule type="cellIs" dxfId="622" priority="1266" operator="greaterThanOrEqual">
      <formula>2</formula>
    </cfRule>
  </conditionalFormatting>
  <conditionalFormatting sqref="I7">
    <cfRule type="cellIs" dxfId="621" priority="1216" operator="between">
      <formula>0</formula>
      <formula>1.4999999</formula>
    </cfRule>
    <cfRule type="cellIs" dxfId="620" priority="1217" operator="between">
      <formula>1.5</formula>
      <formula>1.9999999</formula>
    </cfRule>
    <cfRule type="cellIs" dxfId="619" priority="1218" operator="greaterThanOrEqual">
      <formula>2</formula>
    </cfRule>
    <cfRule type="cellIs" dxfId="618" priority="1234" operator="between">
      <formula>0</formula>
      <formula>1.4999999</formula>
    </cfRule>
    <cfRule type="cellIs" dxfId="617" priority="1235" operator="between">
      <formula>1.5</formula>
      <formula>1.9999999</formula>
    </cfRule>
  </conditionalFormatting>
  <conditionalFormatting sqref="I9">
    <cfRule type="cellIs" dxfId="616" priority="1155" operator="between">
      <formula>0</formula>
      <formula>1.4999999</formula>
    </cfRule>
    <cfRule type="cellIs" dxfId="615" priority="1156" operator="between">
      <formula>1.5</formula>
      <formula>1.9999999</formula>
    </cfRule>
    <cfRule type="cellIs" dxfId="614" priority="1157" operator="greaterThanOrEqual">
      <formula>2</formula>
    </cfRule>
  </conditionalFormatting>
  <conditionalFormatting sqref="I15">
    <cfRule type="cellIs" dxfId="613" priority="1074" operator="between">
      <formula>0</formula>
      <formula>1.4999999</formula>
    </cfRule>
    <cfRule type="cellIs" dxfId="612" priority="1075" operator="between">
      <formula>1.5</formula>
      <formula>1.9999999</formula>
    </cfRule>
    <cfRule type="cellIs" dxfId="611" priority="1076" operator="greaterThanOrEqual">
      <formula>2</formula>
    </cfRule>
  </conditionalFormatting>
  <conditionalFormatting sqref="I13">
    <cfRule type="cellIs" dxfId="610" priority="1038" operator="between">
      <formula>0</formula>
      <formula>1.4999999</formula>
    </cfRule>
    <cfRule type="cellIs" dxfId="609" priority="1039" operator="between">
      <formula>1.5</formula>
      <formula>1.9999999</formula>
    </cfRule>
    <cfRule type="cellIs" dxfId="608" priority="1040" operator="greaterThanOrEqual">
      <formula>2</formula>
    </cfRule>
  </conditionalFormatting>
  <conditionalFormatting sqref="I17">
    <cfRule type="cellIs" dxfId="607" priority="935" operator="between">
      <formula>0</formula>
      <formula>1.4999999</formula>
    </cfRule>
    <cfRule type="cellIs" dxfId="606" priority="936" operator="between">
      <formula>1.5</formula>
      <formula>1.9999999</formula>
    </cfRule>
    <cfRule type="cellIs" dxfId="605" priority="937" operator="greaterThanOrEqual">
      <formula>2</formula>
    </cfRule>
  </conditionalFormatting>
  <conditionalFormatting sqref="I19">
    <cfRule type="cellIs" dxfId="604" priority="883" operator="between">
      <formula>0</formula>
      <formula>1.4999999</formula>
    </cfRule>
    <cfRule type="cellIs" dxfId="603" priority="884" operator="between">
      <formula>1.5</formula>
      <formula>1.9999999</formula>
    </cfRule>
    <cfRule type="cellIs" dxfId="602" priority="885" operator="greaterThanOrEqual">
      <formula>2</formula>
    </cfRule>
  </conditionalFormatting>
  <conditionalFormatting sqref="I21">
    <cfRule type="cellIs" dxfId="601" priority="818" operator="greaterThanOrEqual">
      <formula>2</formula>
    </cfRule>
    <cfRule type="cellIs" dxfId="600" priority="831" operator="between">
      <formula>0</formula>
      <formula>1.4999999</formula>
    </cfRule>
    <cfRule type="cellIs" dxfId="599" priority="832" operator="between">
      <formula>1.5</formula>
      <formula>1.9999999</formula>
    </cfRule>
  </conditionalFormatting>
  <conditionalFormatting sqref="J11">
    <cfRule type="cellIs" dxfId="598" priority="1294" operator="equal">
      <formula>0</formula>
    </cfRule>
    <cfRule type="cellIs" dxfId="597" priority="1295" operator="lessThanOrEqual">
      <formula>79.999</formula>
    </cfRule>
    <cfRule type="cellIs" dxfId="596" priority="1296" stopIfTrue="1" operator="between">
      <formula>80</formula>
      <formula>89.999</formula>
    </cfRule>
    <cfRule type="cellIs" dxfId="595" priority="1297" operator="greaterThanOrEqual">
      <formula>90</formula>
    </cfRule>
    <cfRule type="cellIs" dxfId="594" priority="1298" operator="lessThanOrEqual">
      <formula>75</formula>
    </cfRule>
    <cfRule type="cellIs" dxfId="593" priority="1299" stopIfTrue="1" operator="between">
      <formula>75.000001</formula>
      <formula>84.99999999</formula>
    </cfRule>
    <cfRule type="cellIs" dxfId="592" priority="1300" operator="greaterThanOrEqual">
      <formula>85</formula>
    </cfRule>
  </conditionalFormatting>
  <conditionalFormatting sqref="J7">
    <cfRule type="cellIs" dxfId="591" priority="1186" operator="lessThanOrEqual">
      <formula>75</formula>
    </cfRule>
    <cfRule type="cellIs" dxfId="590" priority="1187" stopIfTrue="1" operator="between">
      <formula>75.000001</formula>
      <formula>84.99999999</formula>
    </cfRule>
    <cfRule type="cellIs" dxfId="589" priority="1188" operator="greaterThanOrEqual">
      <formula>85</formula>
    </cfRule>
  </conditionalFormatting>
  <conditionalFormatting sqref="J9">
    <cfRule type="cellIs" dxfId="588" priority="1170" operator="equal">
      <formula>0</formula>
    </cfRule>
    <cfRule type="cellIs" dxfId="587" priority="1171" operator="lessThanOrEqual">
      <formula>79.999</formula>
    </cfRule>
    <cfRule type="cellIs" dxfId="586" priority="1172" stopIfTrue="1" operator="between">
      <formula>80</formula>
      <formula>89.999</formula>
    </cfRule>
    <cfRule type="cellIs" dxfId="585" priority="1173" operator="greaterThanOrEqual">
      <formula>90</formula>
    </cfRule>
    <cfRule type="cellIs" dxfId="584" priority="1174" operator="lessThanOrEqual">
      <formula>75</formula>
    </cfRule>
    <cfRule type="cellIs" dxfId="583" priority="1175" stopIfTrue="1" operator="between">
      <formula>75.000001</formula>
      <formula>84.99999999</formula>
    </cfRule>
    <cfRule type="cellIs" dxfId="582" priority="1176" operator="greaterThanOrEqual">
      <formula>85</formula>
    </cfRule>
  </conditionalFormatting>
  <conditionalFormatting sqref="J15">
    <cfRule type="cellIs" dxfId="581" priority="1104" operator="equal">
      <formula>0</formula>
    </cfRule>
    <cfRule type="cellIs" dxfId="580" priority="1105" operator="lessThanOrEqual">
      <formula>79.999</formula>
    </cfRule>
    <cfRule type="cellIs" dxfId="579" priority="1106" stopIfTrue="1" operator="between">
      <formula>80</formula>
      <formula>89.999</formula>
    </cfRule>
    <cfRule type="cellIs" dxfId="578" priority="1107" operator="greaterThanOrEqual">
      <formula>90</formula>
    </cfRule>
    <cfRule type="cellIs" dxfId="577" priority="1108" operator="lessThanOrEqual">
      <formula>75</formula>
    </cfRule>
    <cfRule type="cellIs" dxfId="576" priority="1109" stopIfTrue="1" operator="between">
      <formula>75.000001</formula>
      <formula>84.99999999</formula>
    </cfRule>
    <cfRule type="cellIs" dxfId="575" priority="1110" operator="greaterThanOrEqual">
      <formula>85</formula>
    </cfRule>
  </conditionalFormatting>
  <conditionalFormatting sqref="J13">
    <cfRule type="cellIs" dxfId="574" priority="996" operator="equal">
      <formula>0</formula>
    </cfRule>
    <cfRule type="cellIs" dxfId="573" priority="997" operator="lessThanOrEqual">
      <formula>79.999</formula>
    </cfRule>
    <cfRule type="cellIs" dxfId="572" priority="998" stopIfTrue="1" operator="between">
      <formula>80</formula>
      <formula>89.999</formula>
    </cfRule>
    <cfRule type="cellIs" dxfId="571" priority="999" operator="greaterThanOrEqual">
      <formula>90</formula>
    </cfRule>
    <cfRule type="cellIs" dxfId="570" priority="1000" operator="lessThanOrEqual">
      <formula>75</formula>
    </cfRule>
    <cfRule type="cellIs" dxfId="569" priority="1001" stopIfTrue="1" operator="between">
      <formula>75.000001</formula>
      <formula>84.99999999</formula>
    </cfRule>
    <cfRule type="cellIs" dxfId="568" priority="1002" operator="greaterThanOrEqual">
      <formula>85</formula>
    </cfRule>
  </conditionalFormatting>
  <conditionalFormatting sqref="J17">
    <cfRule type="cellIs" dxfId="567" priority="965" operator="equal">
      <formula>0</formula>
    </cfRule>
    <cfRule type="cellIs" dxfId="566" priority="966" operator="lessThanOrEqual">
      <formula>79.999</formula>
    </cfRule>
    <cfRule type="cellIs" dxfId="565" priority="967" stopIfTrue="1" operator="between">
      <formula>80</formula>
      <formula>89.999</formula>
    </cfRule>
    <cfRule type="cellIs" dxfId="564" priority="968" operator="greaterThanOrEqual">
      <formula>90</formula>
    </cfRule>
    <cfRule type="cellIs" dxfId="563" priority="969" operator="lessThanOrEqual">
      <formula>75</formula>
    </cfRule>
    <cfRule type="cellIs" dxfId="562" priority="970" stopIfTrue="1" operator="between">
      <formula>75.000001</formula>
      <formula>84.99999999</formula>
    </cfRule>
    <cfRule type="cellIs" dxfId="561" priority="971" operator="greaterThanOrEqual">
      <formula>85</formula>
    </cfRule>
  </conditionalFormatting>
  <conditionalFormatting sqref="J19">
    <cfRule type="cellIs" dxfId="560" priority="907" operator="equal">
      <formula>0</formula>
    </cfRule>
    <cfRule type="cellIs" dxfId="559" priority="908" operator="lessThanOrEqual">
      <formula>79.999</formula>
    </cfRule>
    <cfRule type="cellIs" dxfId="558" priority="909" stopIfTrue="1" operator="between">
      <formula>80</formula>
      <formula>89.999</formula>
    </cfRule>
    <cfRule type="cellIs" dxfId="557" priority="910" operator="greaterThanOrEqual">
      <formula>90</formula>
    </cfRule>
    <cfRule type="cellIs" dxfId="556" priority="911" operator="lessThanOrEqual">
      <formula>75</formula>
    </cfRule>
    <cfRule type="cellIs" dxfId="555" priority="912" stopIfTrue="1" operator="between">
      <formula>75.000001</formula>
      <formula>84.99999999</formula>
    </cfRule>
    <cfRule type="cellIs" dxfId="554" priority="913" operator="greaterThanOrEqual">
      <formula>85</formula>
    </cfRule>
  </conditionalFormatting>
  <conditionalFormatting sqref="J21">
    <cfRule type="cellIs" dxfId="553" priority="845" operator="equal">
      <formula>0</formula>
    </cfRule>
    <cfRule type="cellIs" dxfId="552" priority="846" operator="lessThanOrEqual">
      <formula>79.999</formula>
    </cfRule>
    <cfRule type="cellIs" dxfId="551" priority="847" stopIfTrue="1" operator="between">
      <formula>80</formula>
      <formula>89.999</formula>
    </cfRule>
    <cfRule type="cellIs" dxfId="550" priority="848" operator="greaterThanOrEqual">
      <formula>90</formula>
    </cfRule>
    <cfRule type="cellIs" dxfId="549" priority="849" operator="lessThanOrEqual">
      <formula>75</formula>
    </cfRule>
    <cfRule type="cellIs" dxfId="548" priority="850" stopIfTrue="1" operator="between">
      <formula>75.000001</formula>
      <formula>84.99999999</formula>
    </cfRule>
    <cfRule type="cellIs" dxfId="547" priority="851" operator="greaterThanOrEqual">
      <formula>85</formula>
    </cfRule>
  </conditionalFormatting>
  <conditionalFormatting sqref="J24">
    <cfRule type="cellIs" dxfId="546" priority="738" operator="lessThanOrEqual">
      <formula>79.999</formula>
    </cfRule>
    <cfRule type="cellIs" dxfId="545" priority="739" stopIfTrue="1" operator="between">
      <formula>80</formula>
      <formula>89.999</formula>
    </cfRule>
    <cfRule type="cellIs" dxfId="544" priority="740" operator="greaterThanOrEqual">
      <formula>90</formula>
    </cfRule>
    <cfRule type="cellIs" dxfId="543" priority="771" operator="lessThanOrEqual">
      <formula>79.999</formula>
    </cfRule>
    <cfRule type="cellIs" dxfId="542" priority="772" stopIfTrue="1" operator="between">
      <formula>80</formula>
      <formula>89.999</formula>
    </cfRule>
    <cfRule type="cellIs" dxfId="541" priority="773" operator="greaterThanOrEqual">
      <formula>90</formula>
    </cfRule>
  </conditionalFormatting>
  <conditionalFormatting sqref="J26">
    <cfRule type="cellIs" dxfId="540" priority="708" operator="lessThanOrEqual">
      <formula>79.999</formula>
    </cfRule>
    <cfRule type="cellIs" dxfId="539" priority="709" stopIfTrue="1" operator="between">
      <formula>80</formula>
      <formula>89.999</formula>
    </cfRule>
    <cfRule type="cellIs" dxfId="538" priority="710" operator="greaterThanOrEqual">
      <formula>90</formula>
    </cfRule>
  </conditionalFormatting>
  <conditionalFormatting sqref="J28">
    <cfRule type="cellIs" dxfId="537" priority="671" operator="lessThanOrEqual">
      <formula>79.999</formula>
    </cfRule>
    <cfRule type="cellIs" dxfId="536" priority="672" stopIfTrue="1" operator="between">
      <formula>80</formula>
      <formula>89.999</formula>
    </cfRule>
    <cfRule type="cellIs" dxfId="535" priority="673" operator="greaterThanOrEqual">
      <formula>90</formula>
    </cfRule>
  </conditionalFormatting>
  <conditionalFormatting sqref="J30">
    <cfRule type="cellIs" dxfId="534" priority="634" operator="lessThanOrEqual">
      <formula>79.999</formula>
    </cfRule>
    <cfRule type="cellIs" dxfId="533" priority="635" stopIfTrue="1" operator="between">
      <formula>80</formula>
      <formula>89.999</formula>
    </cfRule>
    <cfRule type="cellIs" dxfId="532" priority="636" operator="greaterThanOrEqual">
      <formula>90</formula>
    </cfRule>
  </conditionalFormatting>
  <conditionalFormatting sqref="J32">
    <cfRule type="cellIs" dxfId="531" priority="594" operator="lessThanOrEqual">
      <formula>79.999</formula>
    </cfRule>
    <cfRule type="cellIs" dxfId="530" priority="595" stopIfTrue="1" operator="between">
      <formula>80</formula>
      <formula>89.999</formula>
    </cfRule>
    <cfRule type="cellIs" dxfId="529" priority="596" operator="greaterThanOrEqual">
      <formula>90</formula>
    </cfRule>
  </conditionalFormatting>
  <conditionalFormatting sqref="J34">
    <cfRule type="cellIs" dxfId="528" priority="560" operator="lessThanOrEqual">
      <formula>79.999</formula>
    </cfRule>
    <cfRule type="cellIs" dxfId="527" priority="561" stopIfTrue="1" operator="between">
      <formula>80</formula>
      <formula>89.999</formula>
    </cfRule>
    <cfRule type="cellIs" dxfId="526" priority="562" operator="greaterThanOrEqual">
      <formula>90</formula>
    </cfRule>
  </conditionalFormatting>
  <conditionalFormatting sqref="J36">
    <cfRule type="cellIs" dxfId="525" priority="523" operator="lessThanOrEqual">
      <formula>79.999</formula>
    </cfRule>
    <cfRule type="cellIs" dxfId="524" priority="524" stopIfTrue="1" operator="between">
      <formula>80</formula>
      <formula>89.999</formula>
    </cfRule>
    <cfRule type="cellIs" dxfId="523" priority="525" operator="greaterThanOrEqual">
      <formula>90</formula>
    </cfRule>
  </conditionalFormatting>
  <conditionalFormatting sqref="J38">
    <cfRule type="cellIs" dxfId="522" priority="485" operator="lessThanOrEqual">
      <formula>79.999</formula>
    </cfRule>
    <cfRule type="cellIs" dxfId="521" priority="486" stopIfTrue="1" operator="between">
      <formula>80</formula>
      <formula>89.999</formula>
    </cfRule>
    <cfRule type="cellIs" dxfId="520" priority="487" operator="greaterThanOrEqual">
      <formula>90</formula>
    </cfRule>
  </conditionalFormatting>
  <conditionalFormatting sqref="J40">
    <cfRule type="cellIs" dxfId="519" priority="448" operator="lessThanOrEqual">
      <formula>79.999</formula>
    </cfRule>
    <cfRule type="cellIs" dxfId="518" priority="449" stopIfTrue="1" operator="between">
      <formula>80</formula>
      <formula>89.999</formula>
    </cfRule>
    <cfRule type="cellIs" dxfId="517" priority="450" operator="greaterThanOrEqual">
      <formula>90</formula>
    </cfRule>
  </conditionalFormatting>
  <conditionalFormatting sqref="J42">
    <cfRule type="cellIs" dxfId="516" priority="412" operator="lessThanOrEqual">
      <formula>79.999</formula>
    </cfRule>
    <cfRule type="cellIs" dxfId="515" priority="413" stopIfTrue="1" operator="between">
      <formula>80</formula>
      <formula>89.999</formula>
    </cfRule>
    <cfRule type="cellIs" dxfId="514" priority="414" operator="greaterThanOrEqual">
      <formula>90</formula>
    </cfRule>
  </conditionalFormatting>
  <conditionalFormatting sqref="J44">
    <cfRule type="cellIs" dxfId="513" priority="375" operator="lessThanOrEqual">
      <formula>79.999</formula>
    </cfRule>
    <cfRule type="cellIs" dxfId="512" priority="376" stopIfTrue="1" operator="between">
      <formula>80</formula>
      <formula>89.999</formula>
    </cfRule>
    <cfRule type="cellIs" dxfId="511" priority="377" operator="greaterThanOrEqual">
      <formula>90</formula>
    </cfRule>
  </conditionalFormatting>
  <conditionalFormatting sqref="J46">
    <cfRule type="cellIs" dxfId="510" priority="338" operator="lessThanOrEqual">
      <formula>79.999</formula>
    </cfRule>
    <cfRule type="cellIs" dxfId="509" priority="339" stopIfTrue="1" operator="between">
      <formula>80</formula>
      <formula>89.999</formula>
    </cfRule>
    <cfRule type="cellIs" dxfId="508" priority="340" operator="greaterThanOrEqual">
      <formula>90</formula>
    </cfRule>
  </conditionalFormatting>
  <conditionalFormatting sqref="J48">
    <cfRule type="cellIs" dxfId="507" priority="300" operator="lessThanOrEqual">
      <formula>79.999</formula>
    </cfRule>
    <cfRule type="cellIs" dxfId="506" priority="301" stopIfTrue="1" operator="between">
      <formula>80</formula>
      <formula>89.999</formula>
    </cfRule>
    <cfRule type="cellIs" dxfId="505" priority="302" operator="greaterThanOrEqual">
      <formula>90</formula>
    </cfRule>
  </conditionalFormatting>
  <conditionalFormatting sqref="J50">
    <cfRule type="cellIs" dxfId="504" priority="263" operator="lessThanOrEqual">
      <formula>79.999</formula>
    </cfRule>
    <cfRule type="cellIs" dxfId="503" priority="264" stopIfTrue="1" operator="between">
      <formula>80</formula>
      <formula>89.999</formula>
    </cfRule>
    <cfRule type="cellIs" dxfId="502" priority="265" operator="greaterThanOrEqual">
      <formula>90</formula>
    </cfRule>
  </conditionalFormatting>
  <conditionalFormatting sqref="J52">
    <cfRule type="cellIs" dxfId="501" priority="224" operator="lessThanOrEqual">
      <formula>79.999</formula>
    </cfRule>
    <cfRule type="cellIs" dxfId="500" priority="225" stopIfTrue="1" operator="between">
      <formula>80</formula>
      <formula>89.999</formula>
    </cfRule>
    <cfRule type="cellIs" dxfId="499" priority="226" operator="greaterThanOrEqual">
      <formula>90</formula>
    </cfRule>
  </conditionalFormatting>
  <conditionalFormatting sqref="J54">
    <cfRule type="cellIs" dxfId="498" priority="187" operator="lessThanOrEqual">
      <formula>79.999</formula>
    </cfRule>
    <cfRule type="cellIs" dxfId="497" priority="188" stopIfTrue="1" operator="between">
      <formula>80</formula>
      <formula>89.999</formula>
    </cfRule>
    <cfRule type="cellIs" dxfId="496" priority="189" operator="greaterThanOrEqual">
      <formula>90</formula>
    </cfRule>
  </conditionalFormatting>
  <conditionalFormatting sqref="J56">
    <cfRule type="cellIs" dxfId="495" priority="152" operator="lessThanOrEqual">
      <formula>79.999</formula>
    </cfRule>
    <cfRule type="cellIs" dxfId="494" priority="153" stopIfTrue="1" operator="between">
      <formula>80</formula>
      <formula>89.999</formula>
    </cfRule>
    <cfRule type="cellIs" dxfId="493" priority="154" operator="greaterThanOrEqual">
      <formula>90</formula>
    </cfRule>
  </conditionalFormatting>
  <conditionalFormatting sqref="K11">
    <cfRule type="cellIs" dxfId="492" priority="1261" operator="between">
      <formula>0</formula>
      <formula>1.4999999</formula>
    </cfRule>
    <cfRule type="cellIs" dxfId="491" priority="1262" operator="between">
      <formula>1.5</formula>
      <formula>1.9999999</formula>
    </cfRule>
    <cfRule type="cellIs" dxfId="490" priority="1263" operator="greaterThanOrEqual">
      <formula>2</formula>
    </cfRule>
  </conditionalFormatting>
  <conditionalFormatting sqref="K7">
    <cfRule type="cellIs" dxfId="489" priority="1213" operator="between">
      <formula>0</formula>
      <formula>1.4999999</formula>
    </cfRule>
    <cfRule type="cellIs" dxfId="488" priority="1214" operator="between">
      <formula>1.5</formula>
      <formula>1.9999999</formula>
    </cfRule>
    <cfRule type="cellIs" dxfId="487" priority="1215" operator="greaterThanOrEqual">
      <formula>2</formula>
    </cfRule>
    <cfRule type="cellIs" dxfId="486" priority="1232" operator="between">
      <formula>0</formula>
      <formula>1.4999999</formula>
    </cfRule>
    <cfRule type="cellIs" dxfId="485" priority="1233" operator="between">
      <formula>1.5</formula>
      <formula>1.9999999</formula>
    </cfRule>
  </conditionalFormatting>
  <conditionalFormatting sqref="K9">
    <cfRule type="cellIs" dxfId="484" priority="1152" operator="between">
      <formula>0</formula>
      <formula>1.4999999</formula>
    </cfRule>
    <cfRule type="cellIs" dxfId="483" priority="1153" operator="between">
      <formula>1.5</formula>
      <formula>1.9999999</formula>
    </cfRule>
    <cfRule type="cellIs" dxfId="482" priority="1154" operator="greaterThanOrEqual">
      <formula>2</formula>
    </cfRule>
  </conditionalFormatting>
  <conditionalFormatting sqref="K15">
    <cfRule type="cellIs" dxfId="481" priority="1071" operator="between">
      <formula>0</formula>
      <formula>1.4999999</formula>
    </cfRule>
    <cfRule type="cellIs" dxfId="480" priority="1072" operator="between">
      <formula>1.5</formula>
      <formula>1.9999999</formula>
    </cfRule>
    <cfRule type="cellIs" dxfId="479" priority="1073" operator="greaterThanOrEqual">
      <formula>2</formula>
    </cfRule>
  </conditionalFormatting>
  <conditionalFormatting sqref="K13">
    <cfRule type="cellIs" dxfId="478" priority="1035" operator="between">
      <formula>0</formula>
      <formula>1.4999999</formula>
    </cfRule>
    <cfRule type="cellIs" dxfId="477" priority="1036" operator="between">
      <formula>1.5</formula>
      <formula>1.9999999</formula>
    </cfRule>
    <cfRule type="cellIs" dxfId="476" priority="1037" operator="greaterThanOrEqual">
      <formula>2</formula>
    </cfRule>
  </conditionalFormatting>
  <conditionalFormatting sqref="K17">
    <cfRule type="cellIs" dxfId="475" priority="932" operator="between">
      <formula>0</formula>
      <formula>1.4999999</formula>
    </cfRule>
    <cfRule type="cellIs" dxfId="474" priority="933" operator="between">
      <formula>1.5</formula>
      <formula>1.9999999</formula>
    </cfRule>
    <cfRule type="cellIs" dxfId="473" priority="934" operator="greaterThanOrEqual">
      <formula>2</formula>
    </cfRule>
  </conditionalFormatting>
  <conditionalFormatting sqref="K19">
    <cfRule type="cellIs" dxfId="472" priority="880" operator="between">
      <formula>0</formula>
      <formula>1.4999999</formula>
    </cfRule>
    <cfRule type="cellIs" dxfId="471" priority="881" operator="between">
      <formula>1.5</formula>
      <formula>1.9999999</formula>
    </cfRule>
    <cfRule type="cellIs" dxfId="470" priority="882" operator="greaterThanOrEqual">
      <formula>2</formula>
    </cfRule>
  </conditionalFormatting>
  <conditionalFormatting sqref="K21">
    <cfRule type="cellIs" dxfId="469" priority="817" operator="greaterThanOrEqual">
      <formula>2</formula>
    </cfRule>
    <cfRule type="cellIs" dxfId="468" priority="829" operator="between">
      <formula>0</formula>
      <formula>1.4999999</formula>
    </cfRule>
    <cfRule type="cellIs" dxfId="467" priority="830" operator="between">
      <formula>1.5</formula>
      <formula>1.9999999</formula>
    </cfRule>
  </conditionalFormatting>
  <conditionalFormatting sqref="K24">
    <cfRule type="cellIs" dxfId="466" priority="725" operator="lessThan">
      <formula>1</formula>
    </cfRule>
    <cfRule type="cellIs" dxfId="465" priority="729" operator="greaterThanOrEqual">
      <formula>1.5</formula>
    </cfRule>
    <cfRule type="cellIs" dxfId="464" priority="730" operator="between">
      <formula>1.01</formula>
      <formula>1.49999</formula>
    </cfRule>
  </conditionalFormatting>
  <conditionalFormatting sqref="L11">
    <cfRule type="cellIs" dxfId="463" priority="1282" operator="equal">
      <formula>0</formula>
    </cfRule>
    <cfRule type="cellIs" dxfId="462" priority="1283" operator="lessThanOrEqual">
      <formula>75</formula>
    </cfRule>
    <cfRule type="cellIs" dxfId="461" priority="1284" stopIfTrue="1" operator="between">
      <formula>75.000001</formula>
      <formula>84.99999999</formula>
    </cfRule>
    <cfRule type="cellIs" dxfId="460" priority="1285" operator="greaterThanOrEqual">
      <formula>85</formula>
    </cfRule>
  </conditionalFormatting>
  <conditionalFormatting sqref="L7">
    <cfRule type="cellIs" dxfId="459" priority="1183" operator="lessThanOrEqual">
      <formula>75</formula>
    </cfRule>
    <cfRule type="cellIs" dxfId="458" priority="1184" stopIfTrue="1" operator="between">
      <formula>75.000001</formula>
      <formula>84.99999999</formula>
    </cfRule>
    <cfRule type="cellIs" dxfId="457" priority="1185" operator="greaterThanOrEqual">
      <formula>85</formula>
    </cfRule>
  </conditionalFormatting>
  <conditionalFormatting sqref="L9">
    <cfRule type="cellIs" dxfId="456" priority="1158" operator="equal">
      <formula>0</formula>
    </cfRule>
    <cfRule type="cellIs" dxfId="455" priority="1159" operator="lessThanOrEqual">
      <formula>75</formula>
    </cfRule>
    <cfRule type="cellIs" dxfId="454" priority="1160" stopIfTrue="1" operator="between">
      <formula>75.000001</formula>
      <formula>84.99999999</formula>
    </cfRule>
    <cfRule type="cellIs" dxfId="453" priority="1161" operator="greaterThanOrEqual">
      <formula>85</formula>
    </cfRule>
  </conditionalFormatting>
  <conditionalFormatting sqref="L15">
    <cfRule type="cellIs" dxfId="452" priority="1092" operator="equal">
      <formula>0</formula>
    </cfRule>
    <cfRule type="cellIs" dxfId="451" priority="1093" operator="lessThanOrEqual">
      <formula>75</formula>
    </cfRule>
    <cfRule type="cellIs" dxfId="450" priority="1094" stopIfTrue="1" operator="between">
      <formula>75.000001</formula>
      <formula>84.99999999</formula>
    </cfRule>
    <cfRule type="cellIs" dxfId="449" priority="1095" operator="greaterThanOrEqual">
      <formula>85</formula>
    </cfRule>
  </conditionalFormatting>
  <conditionalFormatting sqref="L13">
    <cfRule type="cellIs" dxfId="448" priority="989" operator="equal">
      <formula>0</formula>
    </cfRule>
    <cfRule type="cellIs" dxfId="447" priority="990" operator="lessThanOrEqual">
      <formula>79.999</formula>
    </cfRule>
    <cfRule type="cellIs" dxfId="446" priority="991" stopIfTrue="1" operator="between">
      <formula>80</formula>
      <formula>89.999</formula>
    </cfRule>
    <cfRule type="cellIs" dxfId="445" priority="992" operator="greaterThanOrEqual">
      <formula>90</formula>
    </cfRule>
    <cfRule type="cellIs" dxfId="444" priority="993" operator="lessThanOrEqual">
      <formula>75</formula>
    </cfRule>
    <cfRule type="cellIs" dxfId="443" priority="994" stopIfTrue="1" operator="between">
      <formula>75.000001</formula>
      <formula>84.99999999</formula>
    </cfRule>
    <cfRule type="cellIs" dxfId="442" priority="995" operator="greaterThanOrEqual">
      <formula>85</formula>
    </cfRule>
  </conditionalFormatting>
  <conditionalFormatting sqref="L17">
    <cfRule type="cellIs" dxfId="441" priority="953" operator="equal">
      <formula>0</formula>
    </cfRule>
    <cfRule type="cellIs" dxfId="440" priority="954" operator="lessThanOrEqual">
      <formula>75</formula>
    </cfRule>
    <cfRule type="cellIs" dxfId="439" priority="955" stopIfTrue="1" operator="between">
      <formula>75.000001</formula>
      <formula>84.99999999</formula>
    </cfRule>
    <cfRule type="cellIs" dxfId="438" priority="956" operator="greaterThanOrEqual">
      <formula>85</formula>
    </cfRule>
  </conditionalFormatting>
  <conditionalFormatting sqref="L19">
    <cfRule type="cellIs" dxfId="437" priority="895" operator="equal">
      <formula>0</formula>
    </cfRule>
    <cfRule type="cellIs" dxfId="436" priority="896" operator="lessThanOrEqual">
      <formula>75</formula>
    </cfRule>
    <cfRule type="cellIs" dxfId="435" priority="897" stopIfTrue="1" operator="between">
      <formula>75.000001</formula>
      <formula>84.99999999</formula>
    </cfRule>
    <cfRule type="cellIs" dxfId="434" priority="898" operator="greaterThanOrEqual">
      <formula>85</formula>
    </cfRule>
  </conditionalFormatting>
  <conditionalFormatting sqref="L21">
    <cfRule type="cellIs" dxfId="433" priority="833" operator="equal">
      <formula>0</formula>
    </cfRule>
    <cfRule type="cellIs" dxfId="432" priority="834" operator="lessThanOrEqual">
      <formula>75</formula>
    </cfRule>
    <cfRule type="cellIs" dxfId="431" priority="835" stopIfTrue="1" operator="between">
      <formula>75.000001</formula>
      <formula>84.99999999</formula>
    </cfRule>
    <cfRule type="cellIs" dxfId="430" priority="836" operator="greaterThanOrEqual">
      <formula>85</formula>
    </cfRule>
  </conditionalFormatting>
  <conditionalFormatting sqref="L24">
    <cfRule type="cellIs" dxfId="429" priority="726" operator="lessThanOrEqual">
      <formula>79.999</formula>
    </cfRule>
    <cfRule type="cellIs" dxfId="428" priority="727" stopIfTrue="1" operator="between">
      <formula>80</formula>
      <formula>89.999</formula>
    </cfRule>
    <cfRule type="cellIs" dxfId="427" priority="728" operator="greaterThanOrEqual">
      <formula>90</formula>
    </cfRule>
    <cfRule type="cellIs" dxfId="426" priority="741" operator="lessThanOrEqual">
      <formula>79.999</formula>
    </cfRule>
    <cfRule type="cellIs" dxfId="425" priority="742" stopIfTrue="1" operator="between">
      <formula>80</formula>
      <formula>89.999</formula>
    </cfRule>
    <cfRule type="cellIs" dxfId="424" priority="743" operator="greaterThanOrEqual">
      <formula>90</formula>
    </cfRule>
    <cfRule type="cellIs" dxfId="423" priority="774" operator="lessThanOrEqual">
      <formula>79.999</formula>
    </cfRule>
    <cfRule type="cellIs" dxfId="422" priority="775" stopIfTrue="1" operator="between">
      <formula>80</formula>
      <formula>89.999</formula>
    </cfRule>
    <cfRule type="cellIs" dxfId="421" priority="776" operator="greaterThanOrEqual">
      <formula>90</formula>
    </cfRule>
  </conditionalFormatting>
  <conditionalFormatting sqref="L26">
    <cfRule type="cellIs" dxfId="420" priority="711" operator="lessThanOrEqual">
      <formula>79.999</formula>
    </cfRule>
    <cfRule type="cellIs" dxfId="419" priority="712" stopIfTrue="1" operator="between">
      <formula>80</formula>
      <formula>89.999</formula>
    </cfRule>
    <cfRule type="cellIs" dxfId="418" priority="713" operator="greaterThanOrEqual">
      <formula>90</formula>
    </cfRule>
  </conditionalFormatting>
  <conditionalFormatting sqref="L28">
    <cfRule type="cellIs" dxfId="417" priority="674" operator="lessThanOrEqual">
      <formula>79.999</formula>
    </cfRule>
    <cfRule type="cellIs" dxfId="416" priority="675" stopIfTrue="1" operator="between">
      <formula>80</formula>
      <formula>89.999</formula>
    </cfRule>
    <cfRule type="cellIs" dxfId="415" priority="676" operator="greaterThanOrEqual">
      <formula>90</formula>
    </cfRule>
  </conditionalFormatting>
  <conditionalFormatting sqref="L30">
    <cfRule type="cellIs" dxfId="414" priority="637" operator="lessThanOrEqual">
      <formula>79.999</formula>
    </cfRule>
    <cfRule type="cellIs" dxfId="413" priority="638" stopIfTrue="1" operator="between">
      <formula>80</formula>
      <formula>89.999</formula>
    </cfRule>
    <cfRule type="cellIs" dxfId="412" priority="639" operator="greaterThanOrEqual">
      <formula>90</formula>
    </cfRule>
  </conditionalFormatting>
  <conditionalFormatting sqref="L32">
    <cfRule type="cellIs" dxfId="411" priority="597" operator="lessThanOrEqual">
      <formula>79.999</formula>
    </cfRule>
    <cfRule type="cellIs" dxfId="410" priority="598" stopIfTrue="1" operator="between">
      <formula>80</formula>
      <formula>89.999</formula>
    </cfRule>
    <cfRule type="cellIs" dxfId="409" priority="599" operator="greaterThanOrEqual">
      <formula>90</formula>
    </cfRule>
  </conditionalFormatting>
  <conditionalFormatting sqref="L34">
    <cfRule type="cellIs" dxfId="408" priority="563" operator="lessThanOrEqual">
      <formula>79.999</formula>
    </cfRule>
    <cfRule type="cellIs" dxfId="407" priority="564" stopIfTrue="1" operator="between">
      <formula>80</formula>
      <formula>89.999</formula>
    </cfRule>
    <cfRule type="cellIs" dxfId="406" priority="565" operator="greaterThanOrEqual">
      <formula>90</formula>
    </cfRule>
  </conditionalFormatting>
  <conditionalFormatting sqref="L36">
    <cfRule type="cellIs" dxfId="405" priority="526" operator="lessThanOrEqual">
      <formula>79.999</formula>
    </cfRule>
    <cfRule type="cellIs" dxfId="404" priority="527" stopIfTrue="1" operator="between">
      <formula>80</formula>
      <formula>89.999</formula>
    </cfRule>
    <cfRule type="cellIs" dxfId="403" priority="528" operator="greaterThanOrEqual">
      <formula>90</formula>
    </cfRule>
  </conditionalFormatting>
  <conditionalFormatting sqref="L38">
    <cfRule type="cellIs" dxfId="402" priority="488" operator="lessThanOrEqual">
      <formula>79.999</formula>
    </cfRule>
    <cfRule type="cellIs" dxfId="401" priority="489" stopIfTrue="1" operator="between">
      <formula>80</formula>
      <formula>89.999</formula>
    </cfRule>
    <cfRule type="cellIs" dxfId="400" priority="490" operator="greaterThanOrEqual">
      <formula>90</formula>
    </cfRule>
  </conditionalFormatting>
  <conditionalFormatting sqref="L40">
    <cfRule type="cellIs" dxfId="399" priority="451" operator="lessThanOrEqual">
      <formula>79.999</formula>
    </cfRule>
    <cfRule type="cellIs" dxfId="398" priority="452" stopIfTrue="1" operator="between">
      <formula>80</formula>
      <formula>89.999</formula>
    </cfRule>
    <cfRule type="cellIs" dxfId="397" priority="453" operator="greaterThanOrEqual">
      <formula>90</formula>
    </cfRule>
  </conditionalFormatting>
  <conditionalFormatting sqref="L42">
    <cfRule type="cellIs" dxfId="396" priority="415" operator="lessThanOrEqual">
      <formula>79.999</formula>
    </cfRule>
    <cfRule type="cellIs" dxfId="395" priority="416" stopIfTrue="1" operator="between">
      <formula>80</formula>
      <formula>89.999</formula>
    </cfRule>
    <cfRule type="cellIs" dxfId="394" priority="417" operator="greaterThanOrEqual">
      <formula>90</formula>
    </cfRule>
  </conditionalFormatting>
  <conditionalFormatting sqref="L44">
    <cfRule type="cellIs" dxfId="393" priority="378" operator="lessThanOrEqual">
      <formula>79.999</formula>
    </cfRule>
    <cfRule type="cellIs" dxfId="392" priority="379" stopIfTrue="1" operator="between">
      <formula>80</formula>
      <formula>89.999</formula>
    </cfRule>
    <cfRule type="cellIs" dxfId="391" priority="380" operator="greaterThanOrEqual">
      <formula>90</formula>
    </cfRule>
  </conditionalFormatting>
  <conditionalFormatting sqref="L46">
    <cfRule type="cellIs" dxfId="390" priority="341" operator="lessThanOrEqual">
      <formula>79.999</formula>
    </cfRule>
    <cfRule type="cellIs" dxfId="389" priority="342" stopIfTrue="1" operator="between">
      <formula>80</formula>
      <formula>89.999</formula>
    </cfRule>
    <cfRule type="cellIs" dxfId="388" priority="343" operator="greaterThanOrEqual">
      <formula>90</formula>
    </cfRule>
  </conditionalFormatting>
  <conditionalFormatting sqref="L48">
    <cfRule type="cellIs" dxfId="387" priority="303" operator="lessThanOrEqual">
      <formula>79.999</formula>
    </cfRule>
    <cfRule type="cellIs" dxfId="386" priority="304" stopIfTrue="1" operator="between">
      <formula>80</formula>
      <formula>89.999</formula>
    </cfRule>
    <cfRule type="cellIs" dxfId="385" priority="305" operator="greaterThanOrEqual">
      <formula>90</formula>
    </cfRule>
  </conditionalFormatting>
  <conditionalFormatting sqref="L50">
    <cfRule type="cellIs" dxfId="384" priority="266" operator="lessThanOrEqual">
      <formula>79.999</formula>
    </cfRule>
    <cfRule type="cellIs" dxfId="383" priority="267" stopIfTrue="1" operator="between">
      <formula>80</formula>
      <formula>89.999</formula>
    </cfRule>
    <cfRule type="cellIs" dxfId="382" priority="268" operator="greaterThanOrEqual">
      <formula>90</formula>
    </cfRule>
  </conditionalFormatting>
  <conditionalFormatting sqref="L52">
    <cfRule type="cellIs" dxfId="381" priority="227" operator="lessThanOrEqual">
      <formula>79.999</formula>
    </cfRule>
    <cfRule type="cellIs" dxfId="380" priority="228" stopIfTrue="1" operator="between">
      <formula>80</formula>
      <formula>89.999</formula>
    </cfRule>
    <cfRule type="cellIs" dxfId="379" priority="229" operator="greaterThanOrEqual">
      <formula>90</formula>
    </cfRule>
  </conditionalFormatting>
  <conditionalFormatting sqref="L54">
    <cfRule type="cellIs" dxfId="378" priority="190" operator="lessThanOrEqual">
      <formula>79.999</formula>
    </cfRule>
    <cfRule type="cellIs" dxfId="377" priority="191" stopIfTrue="1" operator="between">
      <formula>80</formula>
      <formula>89.999</formula>
    </cfRule>
    <cfRule type="cellIs" dxfId="376" priority="192" operator="greaterThanOrEqual">
      <formula>90</formula>
    </cfRule>
  </conditionalFormatting>
  <conditionalFormatting sqref="L56">
    <cfRule type="cellIs" dxfId="375" priority="155" operator="lessThanOrEqual">
      <formula>79.999</formula>
    </cfRule>
    <cfRule type="cellIs" dxfId="374" priority="156" stopIfTrue="1" operator="between">
      <formula>80</formula>
      <formula>89.999</formula>
    </cfRule>
    <cfRule type="cellIs" dxfId="373" priority="157" operator="greaterThanOrEqual">
      <formula>90</formula>
    </cfRule>
  </conditionalFormatting>
  <conditionalFormatting sqref="M11">
    <cfRule type="cellIs" dxfId="372" priority="1258" operator="between">
      <formula>0</formula>
      <formula>1.4999999</formula>
    </cfRule>
    <cfRule type="cellIs" dxfId="371" priority="1259" operator="between">
      <formula>1.5</formula>
      <formula>1.9999999</formula>
    </cfRule>
    <cfRule type="cellIs" dxfId="370" priority="1260" operator="greaterThanOrEqual">
      <formula>2</formula>
    </cfRule>
  </conditionalFormatting>
  <conditionalFormatting sqref="M7">
    <cfRule type="cellIs" dxfId="369" priority="1210" operator="between">
      <formula>0</formula>
      <formula>1.4999999</formula>
    </cfRule>
    <cfRule type="cellIs" dxfId="368" priority="1211" operator="between">
      <formula>1.5</formula>
      <formula>1.9999999</formula>
    </cfRule>
    <cfRule type="cellIs" dxfId="367" priority="1212" operator="greaterThanOrEqual">
      <formula>2</formula>
    </cfRule>
    <cfRule type="cellIs" dxfId="366" priority="1230" operator="between">
      <formula>0</formula>
      <formula>1.4999999</formula>
    </cfRule>
    <cfRule type="cellIs" dxfId="365" priority="1231" operator="between">
      <formula>1.5</formula>
      <formula>1.9999999</formula>
    </cfRule>
  </conditionalFormatting>
  <conditionalFormatting sqref="M9">
    <cfRule type="cellIs" dxfId="364" priority="1149" operator="between">
      <formula>0</formula>
      <formula>1.4999999</formula>
    </cfRule>
    <cfRule type="cellIs" dxfId="363" priority="1150" operator="between">
      <formula>1.5</formula>
      <formula>1.9999999</formula>
    </cfRule>
    <cfRule type="cellIs" dxfId="362" priority="1151" operator="greaterThanOrEqual">
      <formula>2</formula>
    </cfRule>
  </conditionalFormatting>
  <conditionalFormatting sqref="M15">
    <cfRule type="cellIs" dxfId="361" priority="1068" operator="between">
      <formula>0</formula>
      <formula>1.4999999</formula>
    </cfRule>
    <cfRule type="cellIs" dxfId="360" priority="1069" operator="between">
      <formula>1.5</formula>
      <formula>1.9999999</formula>
    </cfRule>
    <cfRule type="cellIs" dxfId="359" priority="1070" operator="greaterThanOrEqual">
      <formula>2</formula>
    </cfRule>
  </conditionalFormatting>
  <conditionalFormatting sqref="M13">
    <cfRule type="cellIs" dxfId="358" priority="1032" operator="between">
      <formula>0</formula>
      <formula>1.4999999</formula>
    </cfRule>
    <cfRule type="cellIs" dxfId="357" priority="1033" operator="between">
      <formula>1.5</formula>
      <formula>1.9999999</formula>
    </cfRule>
    <cfRule type="cellIs" dxfId="356" priority="1034" operator="greaterThanOrEqual">
      <formula>2</formula>
    </cfRule>
  </conditionalFormatting>
  <conditionalFormatting sqref="M17">
    <cfRule type="cellIs" dxfId="355" priority="929" operator="between">
      <formula>0</formula>
      <formula>1.4999999</formula>
    </cfRule>
    <cfRule type="cellIs" dxfId="354" priority="930" operator="between">
      <formula>1.5</formula>
      <formula>1.9999999</formula>
    </cfRule>
    <cfRule type="cellIs" dxfId="353" priority="931" operator="greaterThanOrEqual">
      <formula>2</formula>
    </cfRule>
  </conditionalFormatting>
  <conditionalFormatting sqref="M19">
    <cfRule type="cellIs" dxfId="352" priority="877" operator="between">
      <formula>0</formula>
      <formula>1.4999999</formula>
    </cfRule>
    <cfRule type="cellIs" dxfId="351" priority="878" operator="between">
      <formula>1.5</formula>
      <formula>1.9999999</formula>
    </cfRule>
    <cfRule type="cellIs" dxfId="350" priority="879" operator="greaterThanOrEqual">
      <formula>2</formula>
    </cfRule>
  </conditionalFormatting>
  <conditionalFormatting sqref="M21">
    <cfRule type="cellIs" dxfId="349" priority="816" operator="greaterThanOrEqual">
      <formula>2</formula>
    </cfRule>
    <cfRule type="cellIs" dxfId="348" priority="827" operator="between">
      <formula>0</formula>
      <formula>1.4999999</formula>
    </cfRule>
    <cfRule type="cellIs" dxfId="347" priority="828" operator="between">
      <formula>1.5</formula>
      <formula>1.9999999</formula>
    </cfRule>
  </conditionalFormatting>
  <conditionalFormatting sqref="M61:N61">
    <cfRule type="cellIs" dxfId="346" priority="132" operator="equal">
      <formula>85</formula>
    </cfRule>
  </conditionalFormatting>
  <conditionalFormatting sqref="N11">
    <cfRule type="cellIs" dxfId="345" priority="1286" operator="equal">
      <formula>0</formula>
    </cfRule>
    <cfRule type="cellIs" dxfId="344" priority="1287" operator="lessThanOrEqual">
      <formula>75</formula>
    </cfRule>
    <cfRule type="cellIs" dxfId="343" priority="1288" stopIfTrue="1" operator="between">
      <formula>75.000001</formula>
      <formula>84.99999999</formula>
    </cfRule>
    <cfRule type="cellIs" dxfId="342" priority="1289" operator="greaterThanOrEqual">
      <formula>85</formula>
    </cfRule>
  </conditionalFormatting>
  <conditionalFormatting sqref="N7">
    <cfRule type="cellIs" dxfId="341" priority="1180" operator="lessThanOrEqual">
      <formula>75</formula>
    </cfRule>
    <cfRule type="cellIs" dxfId="340" priority="1181" stopIfTrue="1" operator="between">
      <formula>75.000001</formula>
      <formula>84.99999999</formula>
    </cfRule>
    <cfRule type="cellIs" dxfId="339" priority="1182" operator="greaterThanOrEqual">
      <formula>85</formula>
    </cfRule>
  </conditionalFormatting>
  <conditionalFormatting sqref="N9">
    <cfRule type="cellIs" dxfId="338" priority="1162" operator="equal">
      <formula>0</formula>
    </cfRule>
    <cfRule type="cellIs" dxfId="337" priority="1163" operator="lessThanOrEqual">
      <formula>75</formula>
    </cfRule>
    <cfRule type="cellIs" dxfId="336" priority="1164" stopIfTrue="1" operator="between">
      <formula>75.000001</formula>
      <formula>84.99999999</formula>
    </cfRule>
    <cfRule type="cellIs" dxfId="335" priority="1165" operator="greaterThanOrEqual">
      <formula>85</formula>
    </cfRule>
  </conditionalFormatting>
  <conditionalFormatting sqref="N15">
    <cfRule type="cellIs" dxfId="334" priority="1096" operator="equal">
      <formula>0</formula>
    </cfRule>
    <cfRule type="cellIs" dxfId="333" priority="1097" operator="lessThanOrEqual">
      <formula>75</formula>
    </cfRule>
    <cfRule type="cellIs" dxfId="332" priority="1098" stopIfTrue="1" operator="between">
      <formula>75.000001</formula>
      <formula>84.99999999</formula>
    </cfRule>
    <cfRule type="cellIs" dxfId="331" priority="1099" operator="greaterThanOrEqual">
      <formula>85</formula>
    </cfRule>
  </conditionalFormatting>
  <conditionalFormatting sqref="N13">
    <cfRule type="cellIs" dxfId="330" priority="982" operator="equal">
      <formula>0</formula>
    </cfRule>
    <cfRule type="cellIs" dxfId="329" priority="983" operator="lessThanOrEqual">
      <formula>79.999</formula>
    </cfRule>
    <cfRule type="cellIs" dxfId="328" priority="984" stopIfTrue="1" operator="between">
      <formula>80</formula>
      <formula>89.999</formula>
    </cfRule>
    <cfRule type="cellIs" dxfId="327" priority="985" operator="greaterThanOrEqual">
      <formula>90</formula>
    </cfRule>
    <cfRule type="cellIs" dxfId="326" priority="986" operator="lessThanOrEqual">
      <formula>75</formula>
    </cfRule>
    <cfRule type="cellIs" dxfId="325" priority="987" stopIfTrue="1" operator="between">
      <formula>75.000001</formula>
      <formula>84.99999999</formula>
    </cfRule>
    <cfRule type="cellIs" dxfId="324" priority="988" operator="greaterThanOrEqual">
      <formula>85</formula>
    </cfRule>
  </conditionalFormatting>
  <conditionalFormatting sqref="N17">
    <cfRule type="cellIs" dxfId="323" priority="957" operator="equal">
      <formula>0</formula>
    </cfRule>
    <cfRule type="cellIs" dxfId="322" priority="958" operator="lessThanOrEqual">
      <formula>75</formula>
    </cfRule>
    <cfRule type="cellIs" dxfId="321" priority="959" stopIfTrue="1" operator="between">
      <formula>75.000001</formula>
      <formula>84.99999999</formula>
    </cfRule>
    <cfRule type="cellIs" dxfId="320" priority="960" operator="greaterThanOrEqual">
      <formula>85</formula>
    </cfRule>
  </conditionalFormatting>
  <conditionalFormatting sqref="N19">
    <cfRule type="cellIs" dxfId="319" priority="899" operator="equal">
      <formula>0</formula>
    </cfRule>
    <cfRule type="cellIs" dxfId="318" priority="900" operator="lessThanOrEqual">
      <formula>75</formula>
    </cfRule>
    <cfRule type="cellIs" dxfId="317" priority="901" stopIfTrue="1" operator="between">
      <formula>75.000001</formula>
      <formula>84.99999999</formula>
    </cfRule>
    <cfRule type="cellIs" dxfId="316" priority="902" operator="greaterThanOrEqual">
      <formula>85</formula>
    </cfRule>
  </conditionalFormatting>
  <conditionalFormatting sqref="N21">
    <cfRule type="cellIs" dxfId="315" priority="837" operator="equal">
      <formula>0</formula>
    </cfRule>
    <cfRule type="cellIs" dxfId="314" priority="838" operator="lessThanOrEqual">
      <formula>75</formula>
    </cfRule>
    <cfRule type="cellIs" dxfId="313" priority="839" stopIfTrue="1" operator="between">
      <formula>75.000001</formula>
      <formula>84.99999999</formula>
    </cfRule>
    <cfRule type="cellIs" dxfId="312" priority="840" operator="greaterThanOrEqual">
      <formula>85</formula>
    </cfRule>
  </conditionalFormatting>
  <conditionalFormatting sqref="N24">
    <cfRule type="cellIs" dxfId="311" priority="744" operator="lessThanOrEqual">
      <formula>79.999</formula>
    </cfRule>
    <cfRule type="cellIs" dxfId="310" priority="745" stopIfTrue="1" operator="between">
      <formula>80</formula>
      <formula>89.999</formula>
    </cfRule>
    <cfRule type="cellIs" dxfId="309" priority="746" operator="greaterThanOrEqual">
      <formula>90</formula>
    </cfRule>
    <cfRule type="cellIs" dxfId="308" priority="777" operator="lessThanOrEqual">
      <formula>79.999</formula>
    </cfRule>
    <cfRule type="cellIs" dxfId="307" priority="778" stopIfTrue="1" operator="between">
      <formula>80</formula>
      <formula>89.999</formula>
    </cfRule>
    <cfRule type="cellIs" dxfId="306" priority="779" operator="greaterThanOrEqual">
      <formula>90</formula>
    </cfRule>
  </conditionalFormatting>
  <conditionalFormatting sqref="N26">
    <cfRule type="cellIs" dxfId="305" priority="714" operator="lessThanOrEqual">
      <formula>79.999</formula>
    </cfRule>
    <cfRule type="cellIs" dxfId="304" priority="715" stopIfTrue="1" operator="between">
      <formula>80</formula>
      <formula>89.999</formula>
    </cfRule>
    <cfRule type="cellIs" dxfId="303" priority="716" operator="greaterThanOrEqual">
      <formula>90</formula>
    </cfRule>
  </conditionalFormatting>
  <conditionalFormatting sqref="N28">
    <cfRule type="cellIs" dxfId="302" priority="677" operator="lessThanOrEqual">
      <formula>79.999</formula>
    </cfRule>
    <cfRule type="cellIs" dxfId="301" priority="678" stopIfTrue="1" operator="between">
      <formula>80</formula>
      <formula>89.999</formula>
    </cfRule>
    <cfRule type="cellIs" dxfId="300" priority="679" operator="greaterThanOrEqual">
      <formula>90</formula>
    </cfRule>
  </conditionalFormatting>
  <conditionalFormatting sqref="N30">
    <cfRule type="cellIs" dxfId="299" priority="640" operator="lessThanOrEqual">
      <formula>79.999</formula>
    </cfRule>
    <cfRule type="cellIs" dxfId="298" priority="641" stopIfTrue="1" operator="between">
      <formula>80</formula>
      <formula>89.999</formula>
    </cfRule>
    <cfRule type="cellIs" dxfId="297" priority="642" operator="greaterThanOrEqual">
      <formula>90</formula>
    </cfRule>
  </conditionalFormatting>
  <conditionalFormatting sqref="N32">
    <cfRule type="cellIs" dxfId="296" priority="600" operator="lessThanOrEqual">
      <formula>79.999</formula>
    </cfRule>
    <cfRule type="cellIs" dxfId="295" priority="601" stopIfTrue="1" operator="between">
      <formula>80</formula>
      <formula>89.999</formula>
    </cfRule>
    <cfRule type="cellIs" dxfId="294" priority="602" operator="greaterThanOrEqual">
      <formula>90</formula>
    </cfRule>
  </conditionalFormatting>
  <conditionalFormatting sqref="N34">
    <cfRule type="cellIs" dxfId="293" priority="566" operator="lessThanOrEqual">
      <formula>79.999</formula>
    </cfRule>
    <cfRule type="cellIs" dxfId="292" priority="567" stopIfTrue="1" operator="between">
      <formula>80</formula>
      <formula>89.999</formula>
    </cfRule>
    <cfRule type="cellIs" dxfId="291" priority="568" operator="greaterThanOrEqual">
      <formula>90</formula>
    </cfRule>
  </conditionalFormatting>
  <conditionalFormatting sqref="N36">
    <cfRule type="cellIs" dxfId="290" priority="529" operator="lessThanOrEqual">
      <formula>79.999</formula>
    </cfRule>
    <cfRule type="cellIs" dxfId="289" priority="530" stopIfTrue="1" operator="between">
      <formula>80</formula>
      <formula>89.999</formula>
    </cfRule>
    <cfRule type="cellIs" dxfId="288" priority="531" operator="greaterThanOrEqual">
      <formula>90</formula>
    </cfRule>
  </conditionalFormatting>
  <conditionalFormatting sqref="N38">
    <cfRule type="cellIs" dxfId="287" priority="491" operator="lessThanOrEqual">
      <formula>79.999</formula>
    </cfRule>
    <cfRule type="cellIs" dxfId="286" priority="492" stopIfTrue="1" operator="between">
      <formula>80</formula>
      <formula>89.999</formula>
    </cfRule>
    <cfRule type="cellIs" dxfId="285" priority="493" operator="greaterThanOrEqual">
      <formula>90</formula>
    </cfRule>
  </conditionalFormatting>
  <conditionalFormatting sqref="N40">
    <cfRule type="cellIs" dxfId="284" priority="454" operator="lessThanOrEqual">
      <formula>79.999</formula>
    </cfRule>
    <cfRule type="cellIs" dxfId="283" priority="455" stopIfTrue="1" operator="between">
      <formula>80</formula>
      <formula>89.999</formula>
    </cfRule>
    <cfRule type="cellIs" dxfId="282" priority="456" operator="greaterThanOrEqual">
      <formula>90</formula>
    </cfRule>
  </conditionalFormatting>
  <conditionalFormatting sqref="N42">
    <cfRule type="cellIs" dxfId="281" priority="418" operator="lessThanOrEqual">
      <formula>79.999</formula>
    </cfRule>
    <cfRule type="cellIs" dxfId="280" priority="419" stopIfTrue="1" operator="between">
      <formula>80</formula>
      <formula>89.999</formula>
    </cfRule>
    <cfRule type="cellIs" dxfId="279" priority="420" operator="greaterThanOrEqual">
      <formula>90</formula>
    </cfRule>
  </conditionalFormatting>
  <conditionalFormatting sqref="N44">
    <cfRule type="cellIs" dxfId="278" priority="381" operator="lessThanOrEqual">
      <formula>79.999</formula>
    </cfRule>
    <cfRule type="cellIs" dxfId="277" priority="382" stopIfTrue="1" operator="between">
      <formula>80</formula>
      <formula>89.999</formula>
    </cfRule>
    <cfRule type="cellIs" dxfId="276" priority="383" operator="greaterThanOrEqual">
      <formula>90</formula>
    </cfRule>
  </conditionalFormatting>
  <conditionalFormatting sqref="N46">
    <cfRule type="cellIs" dxfId="275" priority="344" operator="lessThanOrEqual">
      <formula>79.999</formula>
    </cfRule>
    <cfRule type="cellIs" dxfId="274" priority="345" stopIfTrue="1" operator="between">
      <formula>80</formula>
      <formula>89.999</formula>
    </cfRule>
    <cfRule type="cellIs" dxfId="273" priority="346" operator="greaterThanOrEqual">
      <formula>90</formula>
    </cfRule>
  </conditionalFormatting>
  <conditionalFormatting sqref="N48">
    <cfRule type="cellIs" dxfId="272" priority="306" operator="lessThanOrEqual">
      <formula>79.999</formula>
    </cfRule>
    <cfRule type="cellIs" dxfId="271" priority="307" stopIfTrue="1" operator="between">
      <formula>80</formula>
      <formula>89.999</formula>
    </cfRule>
    <cfRule type="cellIs" dxfId="270" priority="308" operator="greaterThanOrEqual">
      <formula>90</formula>
    </cfRule>
  </conditionalFormatting>
  <conditionalFormatting sqref="N50">
    <cfRule type="cellIs" dxfId="269" priority="269" operator="lessThanOrEqual">
      <formula>79.999</formula>
    </cfRule>
    <cfRule type="cellIs" dxfId="268" priority="270" stopIfTrue="1" operator="between">
      <formula>80</formula>
      <formula>89.999</formula>
    </cfRule>
    <cfRule type="cellIs" dxfId="267" priority="271" operator="greaterThanOrEqual">
      <formula>90</formula>
    </cfRule>
  </conditionalFormatting>
  <conditionalFormatting sqref="N52">
    <cfRule type="cellIs" dxfId="266" priority="230" operator="lessThanOrEqual">
      <formula>79.999</formula>
    </cfRule>
    <cfRule type="cellIs" dxfId="265" priority="231" stopIfTrue="1" operator="between">
      <formula>80</formula>
      <formula>89.999</formula>
    </cfRule>
    <cfRule type="cellIs" dxfId="264" priority="232" operator="greaterThanOrEqual">
      <formula>90</formula>
    </cfRule>
  </conditionalFormatting>
  <conditionalFormatting sqref="N54">
    <cfRule type="cellIs" dxfId="263" priority="193" operator="lessThanOrEqual">
      <formula>79.999</formula>
    </cfRule>
    <cfRule type="cellIs" dxfId="262" priority="194" stopIfTrue="1" operator="between">
      <formula>80</formula>
      <formula>89.999</formula>
    </cfRule>
    <cfRule type="cellIs" dxfId="261" priority="195" operator="greaterThanOrEqual">
      <formula>90</formula>
    </cfRule>
  </conditionalFormatting>
  <conditionalFormatting sqref="N56">
    <cfRule type="cellIs" dxfId="260" priority="158" operator="lessThanOrEqual">
      <formula>79.999</formula>
    </cfRule>
    <cfRule type="cellIs" dxfId="259" priority="159" stopIfTrue="1" operator="between">
      <formula>80</formula>
      <formula>89.999</formula>
    </cfRule>
    <cfRule type="cellIs" dxfId="258" priority="160" operator="greaterThanOrEqual">
      <formula>90</formula>
    </cfRule>
  </conditionalFormatting>
  <conditionalFormatting sqref="O11">
    <cfRule type="cellIs" dxfId="257" priority="1255" operator="between">
      <formula>0</formula>
      <formula>1.4999999</formula>
    </cfRule>
    <cfRule type="cellIs" dxfId="256" priority="1256" operator="between">
      <formula>1.5</formula>
      <formula>1.9999999</formula>
    </cfRule>
    <cfRule type="cellIs" dxfId="255" priority="1257" operator="greaterThanOrEqual">
      <formula>2</formula>
    </cfRule>
  </conditionalFormatting>
  <conditionalFormatting sqref="O7">
    <cfRule type="cellIs" dxfId="254" priority="1207" operator="between">
      <formula>0</formula>
      <formula>1.4999999</formula>
    </cfRule>
    <cfRule type="cellIs" dxfId="253" priority="1208" operator="between">
      <formula>1.5</formula>
      <formula>1.9999999</formula>
    </cfRule>
    <cfRule type="cellIs" dxfId="252" priority="1209" operator="greaterThanOrEqual">
      <formula>2</formula>
    </cfRule>
    <cfRule type="cellIs" dxfId="251" priority="1228" operator="between">
      <formula>0</formula>
      <formula>1.4999999</formula>
    </cfRule>
    <cfRule type="cellIs" dxfId="250" priority="1229" operator="between">
      <formula>1.5</formula>
      <formula>1.9999999</formula>
    </cfRule>
  </conditionalFormatting>
  <conditionalFormatting sqref="O9">
    <cfRule type="cellIs" dxfId="249" priority="1146" operator="between">
      <formula>0</formula>
      <formula>1.4999999</formula>
    </cfRule>
    <cfRule type="cellIs" dxfId="248" priority="1147" operator="between">
      <formula>1.5</formula>
      <formula>1.9999999</formula>
    </cfRule>
    <cfRule type="cellIs" dxfId="247" priority="1148" operator="greaterThanOrEqual">
      <formula>2</formula>
    </cfRule>
  </conditionalFormatting>
  <conditionalFormatting sqref="O15">
    <cfRule type="cellIs" dxfId="246" priority="1065" operator="between">
      <formula>0</formula>
      <formula>1.4999999</formula>
    </cfRule>
    <cfRule type="cellIs" dxfId="245" priority="1066" operator="between">
      <formula>1.5</formula>
      <formula>1.9999999</formula>
    </cfRule>
    <cfRule type="cellIs" dxfId="244" priority="1067" operator="greaterThanOrEqual">
      <formula>2</formula>
    </cfRule>
  </conditionalFormatting>
  <conditionalFormatting sqref="O13">
    <cfRule type="cellIs" dxfId="243" priority="1029" operator="between">
      <formula>0</formula>
      <formula>1.4999999</formula>
    </cfRule>
    <cfRule type="cellIs" dxfId="242" priority="1030" operator="between">
      <formula>1.5</formula>
      <formula>1.9999999</formula>
    </cfRule>
    <cfRule type="cellIs" dxfId="241" priority="1031" operator="greaterThanOrEqual">
      <formula>2</formula>
    </cfRule>
  </conditionalFormatting>
  <conditionalFormatting sqref="O17">
    <cfRule type="cellIs" dxfId="240" priority="926" operator="between">
      <formula>0</formula>
      <formula>1.4999999</formula>
    </cfRule>
    <cfRule type="cellIs" dxfId="239" priority="927" operator="between">
      <formula>1.5</formula>
      <formula>1.9999999</formula>
    </cfRule>
    <cfRule type="cellIs" dxfId="238" priority="928" operator="greaterThanOrEqual">
      <formula>2</formula>
    </cfRule>
  </conditionalFormatting>
  <conditionalFormatting sqref="O19">
    <cfRule type="cellIs" dxfId="237" priority="874" operator="between">
      <formula>0</formula>
      <formula>1.4999999</formula>
    </cfRule>
    <cfRule type="cellIs" dxfId="236" priority="875" operator="between">
      <formula>1.5</formula>
      <formula>1.9999999</formula>
    </cfRule>
    <cfRule type="cellIs" dxfId="235" priority="876" operator="greaterThanOrEqual">
      <formula>2</formula>
    </cfRule>
  </conditionalFormatting>
  <conditionalFormatting sqref="O21">
    <cfRule type="cellIs" dxfId="234" priority="815" operator="greaterThanOrEqual">
      <formula>2</formula>
    </cfRule>
    <cfRule type="cellIs" dxfId="233" priority="825" operator="between">
      <formula>0</formula>
      <formula>1.4999999</formula>
    </cfRule>
    <cfRule type="cellIs" dxfId="232" priority="826" operator="between">
      <formula>1.5</formula>
      <formula>1.9999999</formula>
    </cfRule>
  </conditionalFormatting>
  <conditionalFormatting sqref="P11">
    <cfRule type="cellIs" dxfId="231" priority="1290" operator="equal">
      <formula>0</formula>
    </cfRule>
    <cfRule type="cellIs" dxfId="230" priority="1291" operator="lessThanOrEqual">
      <formula>75</formula>
    </cfRule>
    <cfRule type="cellIs" dxfId="229" priority="1292" stopIfTrue="1" operator="between">
      <formula>75.000001</formula>
      <formula>84.99999999</formula>
    </cfRule>
    <cfRule type="cellIs" dxfId="228" priority="1293" operator="greaterThanOrEqual">
      <formula>85</formula>
    </cfRule>
  </conditionalFormatting>
  <conditionalFormatting sqref="P7">
    <cfRule type="cellIs" dxfId="227" priority="1177" operator="lessThanOrEqual">
      <formula>75</formula>
    </cfRule>
    <cfRule type="cellIs" dxfId="226" priority="1178" stopIfTrue="1" operator="between">
      <formula>75.000001</formula>
      <formula>84.99999999</formula>
    </cfRule>
    <cfRule type="cellIs" dxfId="225" priority="1179" operator="greaterThanOrEqual">
      <formula>85</formula>
    </cfRule>
  </conditionalFormatting>
  <conditionalFormatting sqref="P9">
    <cfRule type="cellIs" dxfId="224" priority="1166" operator="equal">
      <formula>0</formula>
    </cfRule>
    <cfRule type="cellIs" dxfId="223" priority="1167" operator="lessThanOrEqual">
      <formula>75</formula>
    </cfRule>
    <cfRule type="cellIs" dxfId="222" priority="1168" stopIfTrue="1" operator="between">
      <formula>75.000001</formula>
      <formula>84.99999999</formula>
    </cfRule>
    <cfRule type="cellIs" dxfId="221" priority="1169" operator="greaterThanOrEqual">
      <formula>85</formula>
    </cfRule>
  </conditionalFormatting>
  <conditionalFormatting sqref="P15">
    <cfRule type="cellIs" dxfId="220" priority="1100" operator="equal">
      <formula>0</formula>
    </cfRule>
    <cfRule type="cellIs" dxfId="219" priority="1101" operator="lessThanOrEqual">
      <formula>75</formula>
    </cfRule>
    <cfRule type="cellIs" dxfId="218" priority="1102" stopIfTrue="1" operator="between">
      <formula>75.000001</formula>
      <formula>84.99999999</formula>
    </cfRule>
    <cfRule type="cellIs" dxfId="217" priority="1103" operator="greaterThanOrEqual">
      <formula>85</formula>
    </cfRule>
  </conditionalFormatting>
  <conditionalFormatting sqref="P13">
    <cfRule type="cellIs" dxfId="216" priority="975" operator="equal">
      <formula>0</formula>
    </cfRule>
    <cfRule type="cellIs" dxfId="215" priority="976" operator="lessThanOrEqual">
      <formula>79.999</formula>
    </cfRule>
    <cfRule type="cellIs" dxfId="214" priority="977" stopIfTrue="1" operator="between">
      <formula>80</formula>
      <formula>89.999</formula>
    </cfRule>
    <cfRule type="cellIs" dxfId="213" priority="978" operator="greaterThanOrEqual">
      <formula>90</formula>
    </cfRule>
    <cfRule type="cellIs" dxfId="212" priority="979" operator="lessThanOrEqual">
      <formula>75</formula>
    </cfRule>
    <cfRule type="cellIs" dxfId="211" priority="980" stopIfTrue="1" operator="between">
      <formula>75.000001</formula>
      <formula>84.99999999</formula>
    </cfRule>
    <cfRule type="cellIs" dxfId="210" priority="981" operator="greaterThanOrEqual">
      <formula>85</formula>
    </cfRule>
  </conditionalFormatting>
  <conditionalFormatting sqref="P17">
    <cfRule type="cellIs" dxfId="209" priority="961" operator="equal">
      <formula>0</formula>
    </cfRule>
    <cfRule type="cellIs" dxfId="208" priority="962" operator="lessThanOrEqual">
      <formula>75</formula>
    </cfRule>
    <cfRule type="cellIs" dxfId="207" priority="963" stopIfTrue="1" operator="between">
      <formula>75.000001</formula>
      <formula>84.99999999</formula>
    </cfRule>
    <cfRule type="cellIs" dxfId="206" priority="964" operator="greaterThanOrEqual">
      <formula>85</formula>
    </cfRule>
  </conditionalFormatting>
  <conditionalFormatting sqref="P19">
    <cfRule type="cellIs" dxfId="205" priority="903" operator="equal">
      <formula>0</formula>
    </cfRule>
    <cfRule type="cellIs" dxfId="204" priority="904" operator="lessThanOrEqual">
      <formula>75</formula>
    </cfRule>
    <cfRule type="cellIs" dxfId="203" priority="905" stopIfTrue="1" operator="between">
      <formula>75.000001</formula>
      <formula>84.99999999</formula>
    </cfRule>
    <cfRule type="cellIs" dxfId="202" priority="906" operator="greaterThanOrEqual">
      <formula>85</formula>
    </cfRule>
  </conditionalFormatting>
  <conditionalFormatting sqref="P21">
    <cfRule type="cellIs" dxfId="201" priority="841" operator="equal">
      <formula>0</formula>
    </cfRule>
    <cfRule type="cellIs" dxfId="200" priority="842" operator="lessThanOrEqual">
      <formula>75</formula>
    </cfRule>
    <cfRule type="cellIs" dxfId="199" priority="843" stopIfTrue="1" operator="between">
      <formula>75.000001</formula>
      <formula>84.99999999</formula>
    </cfRule>
    <cfRule type="cellIs" dxfId="198" priority="844" operator="greaterThanOrEqual">
      <formula>85</formula>
    </cfRule>
  </conditionalFormatting>
  <conditionalFormatting sqref="P24">
    <cfRule type="cellIs" dxfId="197" priority="747" operator="lessThanOrEqual">
      <formula>79.999</formula>
    </cfRule>
    <cfRule type="cellIs" dxfId="196" priority="748" stopIfTrue="1" operator="between">
      <formula>80</formula>
      <formula>89.999</formula>
    </cfRule>
    <cfRule type="cellIs" dxfId="195" priority="749" operator="greaterThanOrEqual">
      <formula>90</formula>
    </cfRule>
    <cfRule type="cellIs" dxfId="194" priority="780" operator="lessThanOrEqual">
      <formula>79.999</formula>
    </cfRule>
    <cfRule type="cellIs" dxfId="193" priority="781" stopIfTrue="1" operator="between">
      <formula>80</formula>
      <formula>89.999</formula>
    </cfRule>
    <cfRule type="cellIs" dxfId="192" priority="782" operator="greaterThanOrEqual">
      <formula>90</formula>
    </cfRule>
  </conditionalFormatting>
  <conditionalFormatting sqref="P26">
    <cfRule type="cellIs" dxfId="191" priority="717" operator="lessThanOrEqual">
      <formula>79.999</formula>
    </cfRule>
    <cfRule type="cellIs" dxfId="190" priority="718" stopIfTrue="1" operator="between">
      <formula>80</formula>
      <formula>89.999</formula>
    </cfRule>
    <cfRule type="cellIs" dxfId="189" priority="719" operator="greaterThanOrEqual">
      <formula>90</formula>
    </cfRule>
  </conditionalFormatting>
  <conditionalFormatting sqref="P28">
    <cfRule type="cellIs" dxfId="188" priority="680" operator="lessThanOrEqual">
      <formula>79.999</formula>
    </cfRule>
    <cfRule type="cellIs" dxfId="187" priority="681" stopIfTrue="1" operator="between">
      <formula>80</formula>
      <formula>89.999</formula>
    </cfRule>
    <cfRule type="cellIs" dxfId="186" priority="682" operator="greaterThanOrEqual">
      <formula>90</formula>
    </cfRule>
  </conditionalFormatting>
  <conditionalFormatting sqref="P30">
    <cfRule type="cellIs" dxfId="185" priority="643" operator="lessThanOrEqual">
      <formula>79.999</formula>
    </cfRule>
    <cfRule type="cellIs" dxfId="184" priority="644" stopIfTrue="1" operator="between">
      <formula>80</formula>
      <formula>89.999</formula>
    </cfRule>
    <cfRule type="cellIs" dxfId="183" priority="645" operator="greaterThanOrEqual">
      <formula>90</formula>
    </cfRule>
  </conditionalFormatting>
  <conditionalFormatting sqref="P32">
    <cfRule type="cellIs" dxfId="182" priority="603" operator="lessThanOrEqual">
      <formula>79.999</formula>
    </cfRule>
    <cfRule type="cellIs" dxfId="181" priority="604" stopIfTrue="1" operator="between">
      <formula>80</formula>
      <formula>89.999</formula>
    </cfRule>
    <cfRule type="cellIs" dxfId="180" priority="605" operator="greaterThanOrEqual">
      <formula>90</formula>
    </cfRule>
  </conditionalFormatting>
  <conditionalFormatting sqref="P34">
    <cfRule type="cellIs" dxfId="179" priority="569" operator="lessThanOrEqual">
      <formula>79.999</formula>
    </cfRule>
    <cfRule type="cellIs" dxfId="178" priority="570" stopIfTrue="1" operator="between">
      <formula>80</formula>
      <formula>89.999</formula>
    </cfRule>
    <cfRule type="cellIs" dxfId="177" priority="571" operator="greaterThanOrEqual">
      <formula>90</formula>
    </cfRule>
  </conditionalFormatting>
  <conditionalFormatting sqref="P36">
    <cfRule type="cellIs" dxfId="176" priority="532" operator="lessThanOrEqual">
      <formula>79.999</formula>
    </cfRule>
    <cfRule type="cellIs" dxfId="175" priority="533" stopIfTrue="1" operator="between">
      <formula>80</formula>
      <formula>89.999</formula>
    </cfRule>
    <cfRule type="cellIs" dxfId="174" priority="534" operator="greaterThanOrEqual">
      <formula>90</formula>
    </cfRule>
  </conditionalFormatting>
  <conditionalFormatting sqref="P38">
    <cfRule type="cellIs" dxfId="173" priority="494" operator="lessThanOrEqual">
      <formula>79.999</formula>
    </cfRule>
    <cfRule type="cellIs" dxfId="172" priority="495" stopIfTrue="1" operator="between">
      <formula>80</formula>
      <formula>89.999</formula>
    </cfRule>
    <cfRule type="cellIs" dxfId="171" priority="496" operator="greaterThanOrEqual">
      <formula>90</formula>
    </cfRule>
  </conditionalFormatting>
  <conditionalFormatting sqref="P40">
    <cfRule type="cellIs" dxfId="170" priority="457" operator="lessThanOrEqual">
      <formula>79.999</formula>
    </cfRule>
    <cfRule type="cellIs" dxfId="169" priority="458" stopIfTrue="1" operator="between">
      <formula>80</formula>
      <formula>89.999</formula>
    </cfRule>
    <cfRule type="cellIs" dxfId="168" priority="459" operator="greaterThanOrEqual">
      <formula>90</formula>
    </cfRule>
  </conditionalFormatting>
  <conditionalFormatting sqref="P42">
    <cfRule type="cellIs" dxfId="167" priority="421" operator="lessThanOrEqual">
      <formula>79.999</formula>
    </cfRule>
    <cfRule type="cellIs" dxfId="166" priority="422" stopIfTrue="1" operator="between">
      <formula>80</formula>
      <formula>89.999</formula>
    </cfRule>
    <cfRule type="cellIs" dxfId="165" priority="423" operator="greaterThanOrEqual">
      <formula>90</formula>
    </cfRule>
  </conditionalFormatting>
  <conditionalFormatting sqref="P44">
    <cfRule type="cellIs" dxfId="164" priority="384" operator="lessThanOrEqual">
      <formula>79.999</formula>
    </cfRule>
    <cfRule type="cellIs" dxfId="163" priority="385" stopIfTrue="1" operator="between">
      <formula>80</formula>
      <formula>89.999</formula>
    </cfRule>
    <cfRule type="cellIs" dxfId="162" priority="386" operator="greaterThanOrEqual">
      <formula>90</formula>
    </cfRule>
  </conditionalFormatting>
  <conditionalFormatting sqref="P46">
    <cfRule type="cellIs" dxfId="161" priority="347" operator="lessThanOrEqual">
      <formula>79.999</formula>
    </cfRule>
    <cfRule type="cellIs" dxfId="160" priority="348" stopIfTrue="1" operator="between">
      <formula>80</formula>
      <formula>89.999</formula>
    </cfRule>
    <cfRule type="cellIs" dxfId="159" priority="349" operator="greaterThanOrEqual">
      <formula>90</formula>
    </cfRule>
  </conditionalFormatting>
  <conditionalFormatting sqref="P48">
    <cfRule type="cellIs" dxfId="158" priority="309" operator="lessThanOrEqual">
      <formula>79.999</formula>
    </cfRule>
    <cfRule type="cellIs" dxfId="157" priority="310" stopIfTrue="1" operator="between">
      <formula>80</formula>
      <formula>89.999</formula>
    </cfRule>
    <cfRule type="cellIs" dxfId="156" priority="311" operator="greaterThanOrEqual">
      <formula>90</formula>
    </cfRule>
  </conditionalFormatting>
  <conditionalFormatting sqref="P50">
    <cfRule type="cellIs" dxfId="155" priority="272" operator="lessThanOrEqual">
      <formula>79.999</formula>
    </cfRule>
    <cfRule type="cellIs" dxfId="154" priority="273" stopIfTrue="1" operator="between">
      <formula>80</formula>
      <formula>89.999</formula>
    </cfRule>
    <cfRule type="cellIs" dxfId="153" priority="274" operator="greaterThanOrEqual">
      <formula>90</formula>
    </cfRule>
  </conditionalFormatting>
  <conditionalFormatting sqref="P52">
    <cfRule type="cellIs" dxfId="152" priority="233" operator="lessThanOrEqual">
      <formula>79.999</formula>
    </cfRule>
    <cfRule type="cellIs" dxfId="151" priority="234" stopIfTrue="1" operator="between">
      <formula>80</formula>
      <formula>89.999</formula>
    </cfRule>
    <cfRule type="cellIs" dxfId="150" priority="235" operator="greaterThanOrEqual">
      <formula>90</formula>
    </cfRule>
  </conditionalFormatting>
  <conditionalFormatting sqref="P54">
    <cfRule type="cellIs" dxfId="149" priority="196" operator="lessThanOrEqual">
      <formula>79.999</formula>
    </cfRule>
    <cfRule type="cellIs" dxfId="148" priority="197" stopIfTrue="1" operator="between">
      <formula>80</formula>
      <formula>89.999</formula>
    </cfRule>
    <cfRule type="cellIs" dxfId="147" priority="198" operator="greaterThanOrEqual">
      <formula>90</formula>
    </cfRule>
  </conditionalFormatting>
  <conditionalFormatting sqref="P56">
    <cfRule type="cellIs" dxfId="146" priority="163" operator="lessThanOrEqual">
      <formula>79.999</formula>
    </cfRule>
    <cfRule type="cellIs" dxfId="145" priority="164" stopIfTrue="1" operator="between">
      <formula>80</formula>
      <formula>89.999</formula>
    </cfRule>
    <cfRule type="cellIs" dxfId="144" priority="165" operator="greaterThanOrEqual">
      <formula>90</formula>
    </cfRule>
  </conditionalFormatting>
  <conditionalFormatting sqref="R4:R6 R8:R21">
    <cfRule type="cellIs" dxfId="143" priority="812" operator="lessThanOrEqual">
      <formula>0.77999</formula>
    </cfRule>
    <cfRule type="cellIs" dxfId="142" priority="813" operator="between">
      <formula>0.78</formula>
      <formula>0.84999</formula>
    </cfRule>
    <cfRule type="cellIs" dxfId="141" priority="814" operator="greaterThanOrEqual">
      <formula>0.85</formula>
    </cfRule>
  </conditionalFormatting>
  <conditionalFormatting sqref="R23:R60">
    <cfRule type="cellIs" dxfId="140" priority="139" operator="lessThanOrEqual">
      <formula>0.77999999</formula>
    </cfRule>
    <cfRule type="cellIs" dxfId="139" priority="140" operator="between">
      <formula>0.78</formula>
      <formula>0.8499999</formula>
    </cfRule>
    <cfRule type="cellIs" dxfId="138" priority="141" operator="greaterThanOrEqual">
      <formula>0.85</formula>
    </cfRule>
  </conditionalFormatting>
  <conditionalFormatting sqref="S4">
    <cfRule type="cellIs" dxfId="137" priority="1355" stopIfTrue="1" operator="equal">
      <formula>3</formula>
    </cfRule>
    <cfRule type="cellIs" dxfId="136" priority="1356" operator="equal">
      <formula>2</formula>
    </cfRule>
    <cfRule type="cellIs" dxfId="135" priority="1357" operator="equal">
      <formula>1</formula>
    </cfRule>
  </conditionalFormatting>
  <conditionalFormatting sqref="S8">
    <cfRule type="cellIs" dxfId="134" priority="1204" stopIfTrue="1" operator="equal">
      <formula>3</formula>
    </cfRule>
    <cfRule type="cellIs" dxfId="133" priority="1205" operator="equal">
      <formula>2</formula>
    </cfRule>
    <cfRule type="cellIs" dxfId="132" priority="1206" operator="equal">
      <formula>1</formula>
    </cfRule>
  </conditionalFormatting>
  <conditionalFormatting sqref="S10">
    <cfRule type="cellIs" dxfId="131" priority="1143" stopIfTrue="1" operator="equal">
      <formula>3</formula>
    </cfRule>
    <cfRule type="cellIs" dxfId="130" priority="1144" operator="equal">
      <formula>2</formula>
    </cfRule>
    <cfRule type="cellIs" dxfId="129" priority="1145" operator="equal">
      <formula>1</formula>
    </cfRule>
  </conditionalFormatting>
  <conditionalFormatting sqref="S12">
    <cfRule type="cellIs" dxfId="128" priority="1062" stopIfTrue="1" operator="equal">
      <formula>3</formula>
    </cfRule>
    <cfRule type="cellIs" dxfId="127" priority="1063" operator="equal">
      <formula>2</formula>
    </cfRule>
    <cfRule type="cellIs" dxfId="126" priority="1064" operator="equal">
      <formula>1</formula>
    </cfRule>
  </conditionalFormatting>
  <conditionalFormatting sqref="S14">
    <cfRule type="cellIs" dxfId="125" priority="1026" stopIfTrue="1" operator="equal">
      <formula>3</formula>
    </cfRule>
    <cfRule type="cellIs" dxfId="124" priority="1027" operator="equal">
      <formula>2</formula>
    </cfRule>
    <cfRule type="cellIs" dxfId="123" priority="1028" operator="equal">
      <formula>1</formula>
    </cfRule>
  </conditionalFormatting>
  <conditionalFormatting sqref="S16">
    <cfRule type="cellIs" dxfId="122" priority="972" stopIfTrue="1" operator="equal">
      <formula>3</formula>
    </cfRule>
    <cfRule type="cellIs" dxfId="121" priority="973" operator="equal">
      <formula>2</formula>
    </cfRule>
    <cfRule type="cellIs" dxfId="120" priority="974" operator="equal">
      <formula>1</formula>
    </cfRule>
  </conditionalFormatting>
  <conditionalFormatting sqref="S18">
    <cfRule type="cellIs" dxfId="119" priority="871" stopIfTrue="1" operator="equal">
      <formula>3</formula>
    </cfRule>
    <cfRule type="cellIs" dxfId="118" priority="872" operator="equal">
      <formula>2</formula>
    </cfRule>
    <cfRule type="cellIs" dxfId="117" priority="873" operator="equal">
      <formula>1</formula>
    </cfRule>
  </conditionalFormatting>
  <conditionalFormatting sqref="S20">
    <cfRule type="cellIs" dxfId="116" priority="822" stopIfTrue="1" operator="equal">
      <formula>3</formula>
    </cfRule>
    <cfRule type="cellIs" dxfId="115" priority="823" operator="equal">
      <formula>2</formula>
    </cfRule>
    <cfRule type="cellIs" dxfId="114" priority="824" operator="equal">
      <formula>1</formula>
    </cfRule>
  </conditionalFormatting>
  <conditionalFormatting sqref="S23:S60">
    <cfRule type="cellIs" dxfId="113" priority="167" stopIfTrue="1" operator="equal">
      <formula>3</formula>
    </cfRule>
    <cfRule type="cellIs" dxfId="112" priority="168" operator="equal">
      <formula>2</formula>
    </cfRule>
    <cfRule type="cellIs" dxfId="111" priority="169" operator="equal">
      <formula>1</formula>
    </cfRule>
  </conditionalFormatting>
  <conditionalFormatting sqref="E4 E10 E6 E8 E14 E12 E16 E18 E20 E23 E25 E27 E29 E31 E33 E35 E37 E39 E41 E43 E45 E47 E49 E51 E53 E55 G4 G10 G6 G8 G14 G12 G16 G18 G20 G23 G25 G27 G29 G31 G33 G35 G37 G39 G41 G43 G45 G47 G49 G51 G53 G55 I4 I10 I6 I8 I14 I12 I16 I18 I20 I23 I25 I27 I29 I31 I33 I35 I37 I39 I41 I43 I45 I47 I49 I51 I53 I55 K4 K10 K6 K8 K14 K12 K16 K18 K20 K23 K25 K27 K29 K31 K33 K35 K37 K39 K41 K43 K45 K47 K49 K51 K53 K55 M4 M10 M6 M8 M14 M12 M16 M18 M20 M23 M25 M27 M29 M31 M33 M35 M37 M39 M41 M43 M45 M47 M49 M51 M53 M55 O4 O10 O6 O8 O14 O12 O16 O18 O20 O23 O25 O27 O29 O31 O33 O35 O37 O39 O41 O43 O45 O47 O49 O51 O53 O55">
    <cfRule type="cellIs" dxfId="110" priority="1365" operator="lessThan">
      <formula>9.59</formula>
    </cfRule>
  </conditionalFormatting>
  <conditionalFormatting sqref="E5">
    <cfRule type="cellIs" dxfId="109" priority="98" operator="between">
      <formula>0</formula>
      <formula>1.4999999</formula>
    </cfRule>
    <cfRule type="cellIs" dxfId="108" priority="99" operator="between">
      <formula>1.5</formula>
      <formula>1.9999999</formula>
    </cfRule>
    <cfRule type="cellIs" dxfId="107" priority="100" operator="greaterThanOrEqual">
      <formula>2</formula>
    </cfRule>
  </conditionalFormatting>
  <conditionalFormatting sqref="F5">
    <cfRule type="cellIs" dxfId="106" priority="101" operator="lessThanOrEqual">
      <formula>75</formula>
    </cfRule>
    <cfRule type="cellIs" dxfId="105" priority="102" stopIfTrue="1" operator="between">
      <formula>75.000001</formula>
      <formula>84.99999999</formula>
    </cfRule>
    <cfRule type="cellIs" dxfId="104" priority="103" operator="greaterThanOrEqual">
      <formula>85</formula>
    </cfRule>
  </conditionalFormatting>
  <conditionalFormatting sqref="G5">
    <cfRule type="cellIs" dxfId="103" priority="95" operator="between">
      <formula>0</formula>
      <formula>1.4999999</formula>
    </cfRule>
    <cfRule type="cellIs" dxfId="102" priority="96" operator="between">
      <formula>1.5</formula>
      <formula>1.9999999</formula>
    </cfRule>
    <cfRule type="cellIs" dxfId="101" priority="97" operator="greaterThanOrEqual">
      <formula>2</formula>
    </cfRule>
  </conditionalFormatting>
  <conditionalFormatting sqref="H5">
    <cfRule type="cellIs" dxfId="100" priority="104" operator="lessThanOrEqual">
      <formula>79.999</formula>
    </cfRule>
    <cfRule type="cellIs" dxfId="99" priority="105" stopIfTrue="1" operator="between">
      <formula>80</formula>
      <formula>89.999</formula>
    </cfRule>
    <cfRule type="cellIs" dxfId="98" priority="106" operator="greaterThanOrEqual">
      <formula>90</formula>
    </cfRule>
    <cfRule type="cellIs" dxfId="97" priority="107" operator="lessThanOrEqual">
      <formula>75</formula>
    </cfRule>
    <cfRule type="cellIs" dxfId="96" priority="108" stopIfTrue="1" operator="between">
      <formula>75.000001</formula>
      <formula>84.99999999</formula>
    </cfRule>
    <cfRule type="cellIs" dxfId="95" priority="109" operator="greaterThanOrEqual">
      <formula>85</formula>
    </cfRule>
  </conditionalFormatting>
  <conditionalFormatting sqref="I5">
    <cfRule type="cellIs" dxfId="94" priority="92" operator="between">
      <formula>0</formula>
      <formula>1.4999999</formula>
    </cfRule>
    <cfRule type="cellIs" dxfId="93" priority="93" operator="between">
      <formula>1.5</formula>
      <formula>1.9999999</formula>
    </cfRule>
    <cfRule type="cellIs" dxfId="92" priority="94" operator="greaterThanOrEqual">
      <formula>2</formula>
    </cfRule>
  </conditionalFormatting>
  <conditionalFormatting sqref="J5">
    <cfRule type="cellIs" dxfId="91" priority="122" operator="equal">
      <formula>0</formula>
    </cfRule>
    <cfRule type="cellIs" dxfId="90" priority="123" operator="lessThanOrEqual">
      <formula>79.999</formula>
    </cfRule>
    <cfRule type="cellIs" dxfId="89" priority="124" stopIfTrue="1" operator="between">
      <formula>80</formula>
      <formula>89.999</formula>
    </cfRule>
    <cfRule type="cellIs" dxfId="88" priority="125" operator="greaterThanOrEqual">
      <formula>90</formula>
    </cfRule>
    <cfRule type="cellIs" dxfId="87" priority="126" operator="lessThanOrEqual">
      <formula>75</formula>
    </cfRule>
    <cfRule type="cellIs" dxfId="86" priority="127" stopIfTrue="1" operator="between">
      <formula>75.000001</formula>
      <formula>84.99999999</formula>
    </cfRule>
    <cfRule type="cellIs" dxfId="85" priority="128" operator="greaterThanOrEqual">
      <formula>85</formula>
    </cfRule>
  </conditionalFormatting>
  <conditionalFormatting sqref="K5">
    <cfRule type="cellIs" dxfId="84" priority="89" operator="between">
      <formula>0</formula>
      <formula>1.4999999</formula>
    </cfRule>
    <cfRule type="cellIs" dxfId="83" priority="90" operator="between">
      <formula>1.5</formula>
      <formula>1.9999999</formula>
    </cfRule>
    <cfRule type="cellIs" dxfId="82" priority="91" operator="greaterThanOrEqual">
      <formula>2</formula>
    </cfRule>
  </conditionalFormatting>
  <conditionalFormatting sqref="L5">
    <cfRule type="cellIs" dxfId="81" priority="110" operator="equal">
      <formula>0</formula>
    </cfRule>
    <cfRule type="cellIs" dxfId="80" priority="111" operator="lessThanOrEqual">
      <formula>75</formula>
    </cfRule>
    <cfRule type="cellIs" dxfId="79" priority="112" stopIfTrue="1" operator="between">
      <formula>75.000001</formula>
      <formula>84.99999999</formula>
    </cfRule>
    <cfRule type="cellIs" dxfId="78" priority="113" operator="greaterThanOrEqual">
      <formula>85</formula>
    </cfRule>
  </conditionalFormatting>
  <conditionalFormatting sqref="M5">
    <cfRule type="cellIs" dxfId="77" priority="86" operator="between">
      <formula>0</formula>
      <formula>1.4999999</formula>
    </cfRule>
    <cfRule type="cellIs" dxfId="76" priority="87" operator="between">
      <formula>1.5</formula>
      <formula>1.9999999</formula>
    </cfRule>
    <cfRule type="cellIs" dxfId="75" priority="88" operator="greaterThanOrEqual">
      <formula>2</formula>
    </cfRule>
  </conditionalFormatting>
  <conditionalFormatting sqref="N5">
    <cfRule type="cellIs" dxfId="74" priority="114" operator="equal">
      <formula>0</formula>
    </cfRule>
    <cfRule type="cellIs" dxfId="73" priority="115" operator="lessThanOrEqual">
      <formula>75</formula>
    </cfRule>
    <cfRule type="cellIs" dxfId="72" priority="116" stopIfTrue="1" operator="between">
      <formula>75.000001</formula>
      <formula>84.99999999</formula>
    </cfRule>
    <cfRule type="cellIs" dxfId="71" priority="117" operator="greaterThanOrEqual">
      <formula>85</formula>
    </cfRule>
  </conditionalFormatting>
  <conditionalFormatting sqref="O5">
    <cfRule type="cellIs" dxfId="70" priority="83" operator="between">
      <formula>0</formula>
      <formula>1.4999999</formula>
    </cfRule>
    <cfRule type="cellIs" dxfId="69" priority="84" operator="between">
      <formula>1.5</formula>
      <formula>1.9999999</formula>
    </cfRule>
    <cfRule type="cellIs" dxfId="68" priority="85" operator="greaterThanOrEqual">
      <formula>2</formula>
    </cfRule>
  </conditionalFormatting>
  <conditionalFormatting sqref="P5">
    <cfRule type="cellIs" dxfId="67" priority="118" operator="equal">
      <formula>0</formula>
    </cfRule>
    <cfRule type="cellIs" dxfId="66" priority="119" operator="lessThanOrEqual">
      <formula>75</formula>
    </cfRule>
    <cfRule type="cellIs" dxfId="65" priority="120" stopIfTrue="1" operator="between">
      <formula>75.000001</formula>
      <formula>84.99999999</formula>
    </cfRule>
    <cfRule type="cellIs" dxfId="64" priority="121" operator="greaterThanOrEqual">
      <formula>85</formula>
    </cfRule>
  </conditionalFormatting>
  <conditionalFormatting sqref="S6">
    <cfRule type="cellIs" dxfId="63" priority="80" stopIfTrue="1" operator="equal">
      <formula>3</formula>
    </cfRule>
    <cfRule type="cellIs" dxfId="62" priority="81" operator="equal">
      <formula>2</formula>
    </cfRule>
    <cfRule type="cellIs" dxfId="61" priority="82" operator="equal">
      <formula>1</formula>
    </cfRule>
  </conditionalFormatting>
  <conditionalFormatting sqref="E4 E10 E6 E8 E14 E12 E16 E18 E20 E23 E25 E27 E29 E31 E33 E35 E37 E39 E41 E43 E45 E47 E49 E51 E53 E55 G4 G10 G6 G8 G14 G12 G16 G18 G20 G23 G25 G27 G29 G31 G33 G35 G37 G39 G41 G43 G45 G47 G49 G51 G53 G55 I4 I10 I6 I8 I14 I12 I16 I18 I20 I23 I25 I27 I29 I31 I33 I35 I37 I39 I41 I43 I45 I47 I49 I51 I53 I55 K4 K10 K6 K8 K14 K12 K16 K18 K20 K23 K25 K27 K29 K31 K33 K35 K37 K39 K41 K43 K45 K47 K49 K51 K53 K55 M4 M10 M6 M8 M14 M12 M16 M18 M20 M23 M25 M27 M29 M31 M33 M35 M37 M39 M41 M43 M45 M47 M49 M51 M53 M55 O4 O10 O6 O8 O14 O12 O16 O18 O20 O23 O25 O27 O29 O31 O33 O35 O37 O39 O41 O43 O45 O47 O49 O51 O53 O55">
    <cfRule type="cellIs" dxfId="60" priority="79" operator="between">
      <formula>9.6</formula>
      <formula>9.89</formula>
    </cfRule>
  </conditionalFormatting>
  <conditionalFormatting sqref="D57:D58">
    <cfRule type="cellIs" dxfId="59" priority="56" stopIfTrue="1" operator="lessThan">
      <formula>-3</formula>
    </cfRule>
  </conditionalFormatting>
  <conditionalFormatting sqref="D57:D58">
    <cfRule type="cellIs" dxfId="58" priority="55" stopIfTrue="1" operator="between">
      <formula>0</formula>
      <formula>-2.9999999</formula>
    </cfRule>
  </conditionalFormatting>
  <conditionalFormatting sqref="D57:D58">
    <cfRule type="cellIs" dxfId="57" priority="54" operator="greaterThanOrEqual">
      <formula>0.01</formula>
    </cfRule>
  </conditionalFormatting>
  <conditionalFormatting sqref="E58 G58 I58 K58 M58 O58">
    <cfRule type="cellIs" dxfId="56" priority="57" operator="lessThan">
      <formula>1</formula>
    </cfRule>
    <cfRule type="cellIs" dxfId="55" priority="76" operator="greaterThanOrEqual">
      <formula>1.5</formula>
    </cfRule>
    <cfRule type="cellIs" dxfId="54" priority="77" operator="between">
      <formula>1.01</formula>
      <formula>1.49999</formula>
    </cfRule>
  </conditionalFormatting>
  <conditionalFormatting sqref="E58:P58">
    <cfRule type="cellIs" dxfId="53" priority="53" operator="equal">
      <formula>0</formula>
    </cfRule>
  </conditionalFormatting>
  <conditionalFormatting sqref="F58 H58 J58 L58 N58 P58">
    <cfRule type="cellIs" dxfId="52" priority="58" operator="lessThanOrEqual">
      <formula>79.999</formula>
    </cfRule>
    <cfRule type="cellIs" dxfId="51" priority="59" stopIfTrue="1" operator="between">
      <formula>80</formula>
      <formula>89.999</formula>
    </cfRule>
    <cfRule type="cellIs" dxfId="50" priority="60" operator="greaterThanOrEqual">
      <formula>90</formula>
    </cfRule>
  </conditionalFormatting>
  <conditionalFormatting sqref="H58">
    <cfRule type="cellIs" dxfId="49" priority="61" operator="lessThanOrEqual">
      <formula>79.999</formula>
    </cfRule>
    <cfRule type="cellIs" dxfId="48" priority="62" stopIfTrue="1" operator="between">
      <formula>80</formula>
      <formula>89.999</formula>
    </cfRule>
    <cfRule type="cellIs" dxfId="47" priority="63" operator="greaterThanOrEqual">
      <formula>90</formula>
    </cfRule>
  </conditionalFormatting>
  <conditionalFormatting sqref="J58">
    <cfRule type="cellIs" dxfId="46" priority="64" operator="lessThanOrEqual">
      <formula>79.999</formula>
    </cfRule>
    <cfRule type="cellIs" dxfId="45" priority="65" stopIfTrue="1" operator="between">
      <formula>80</formula>
      <formula>89.999</formula>
    </cfRule>
    <cfRule type="cellIs" dxfId="44" priority="66" operator="greaterThanOrEqual">
      <formula>90</formula>
    </cfRule>
  </conditionalFormatting>
  <conditionalFormatting sqref="L58">
    <cfRule type="cellIs" dxfId="43" priority="67" operator="lessThanOrEqual">
      <formula>79.999</formula>
    </cfRule>
    <cfRule type="cellIs" dxfId="42" priority="68" stopIfTrue="1" operator="between">
      <formula>80</formula>
      <formula>89.999</formula>
    </cfRule>
    <cfRule type="cellIs" dxfId="41" priority="69" operator="greaterThanOrEqual">
      <formula>90</formula>
    </cfRule>
  </conditionalFormatting>
  <conditionalFormatting sqref="N58">
    <cfRule type="cellIs" dxfId="40" priority="70" operator="lessThanOrEqual">
      <formula>79.999</formula>
    </cfRule>
    <cfRule type="cellIs" dxfId="39" priority="71" stopIfTrue="1" operator="between">
      <formula>80</formula>
      <formula>89.999</formula>
    </cfRule>
    <cfRule type="cellIs" dxfId="38" priority="72" operator="greaterThanOrEqual">
      <formula>90</formula>
    </cfRule>
  </conditionalFormatting>
  <conditionalFormatting sqref="P58">
    <cfRule type="cellIs" dxfId="37" priority="73" operator="lessThanOrEqual">
      <formula>79.999</formula>
    </cfRule>
    <cfRule type="cellIs" dxfId="36" priority="74" stopIfTrue="1" operator="between">
      <formula>80</formula>
      <formula>89.999</formula>
    </cfRule>
    <cfRule type="cellIs" dxfId="35" priority="75" operator="greaterThanOrEqual">
      <formula>90</formula>
    </cfRule>
  </conditionalFormatting>
  <conditionalFormatting sqref="E57 G57 I57 K57 M57 O57">
    <cfRule type="cellIs" dxfId="34" priority="78" operator="lessThan">
      <formula>9.59</formula>
    </cfRule>
  </conditionalFormatting>
  <conditionalFormatting sqref="E57 G57 I57 K57 M57 O57">
    <cfRule type="cellIs" dxfId="33" priority="52" operator="between">
      <formula>9.6</formula>
      <formula>9.89</formula>
    </cfRule>
  </conditionalFormatting>
  <conditionalFormatting sqref="D59:D60">
    <cfRule type="cellIs" dxfId="32" priority="29" stopIfTrue="1" operator="lessThan">
      <formula>-3</formula>
    </cfRule>
  </conditionalFormatting>
  <conditionalFormatting sqref="D59:D60">
    <cfRule type="cellIs" dxfId="31" priority="28" stopIfTrue="1" operator="between">
      <formula>0</formula>
      <formula>-2.9999999</formula>
    </cfRule>
  </conditionalFormatting>
  <conditionalFormatting sqref="D59:D60">
    <cfRule type="cellIs" dxfId="30" priority="27" operator="greaterThanOrEqual">
      <formula>0.01</formula>
    </cfRule>
  </conditionalFormatting>
  <conditionalFormatting sqref="E60 G60 I60 K60 M60 O60">
    <cfRule type="cellIs" dxfId="29" priority="3" operator="lessThan">
      <formula>1</formula>
    </cfRule>
    <cfRule type="cellIs" dxfId="28" priority="22" operator="greaterThanOrEqual">
      <formula>1.5</formula>
    </cfRule>
    <cfRule type="cellIs" dxfId="27" priority="23" operator="between">
      <formula>1.01</formula>
      <formula>1.49999</formula>
    </cfRule>
  </conditionalFormatting>
  <conditionalFormatting sqref="E60:P60">
    <cfRule type="cellIs" dxfId="26" priority="2" operator="equal">
      <formula>0</formula>
    </cfRule>
  </conditionalFormatting>
  <conditionalFormatting sqref="F60 H60 J60 L60 N60 P60">
    <cfRule type="cellIs" dxfId="25" priority="4" operator="lessThanOrEqual">
      <formula>79.999</formula>
    </cfRule>
    <cfRule type="cellIs" dxfId="24" priority="5" stopIfTrue="1" operator="between">
      <formula>80</formula>
      <formula>89.999</formula>
    </cfRule>
    <cfRule type="cellIs" dxfId="23" priority="6" operator="greaterThanOrEqual">
      <formula>90</formula>
    </cfRule>
  </conditionalFormatting>
  <conditionalFormatting sqref="H60">
    <cfRule type="cellIs" dxfId="22" priority="7" operator="lessThanOrEqual">
      <formula>79.999</formula>
    </cfRule>
    <cfRule type="cellIs" dxfId="21" priority="8" stopIfTrue="1" operator="between">
      <formula>80</formula>
      <formula>89.999</formula>
    </cfRule>
    <cfRule type="cellIs" dxfId="20" priority="9" operator="greaterThanOrEqual">
      <formula>90</formula>
    </cfRule>
  </conditionalFormatting>
  <conditionalFormatting sqref="J60">
    <cfRule type="cellIs" dxfId="19" priority="10" operator="lessThanOrEqual">
      <formula>79.999</formula>
    </cfRule>
    <cfRule type="cellIs" dxfId="18" priority="11" stopIfTrue="1" operator="between">
      <formula>80</formula>
      <formula>89.999</formula>
    </cfRule>
    <cfRule type="cellIs" dxfId="17" priority="12" operator="greaterThanOrEqual">
      <formula>90</formula>
    </cfRule>
  </conditionalFormatting>
  <conditionalFormatting sqref="L60">
    <cfRule type="cellIs" dxfId="16" priority="13" operator="lessThanOrEqual">
      <formula>79.999</formula>
    </cfRule>
    <cfRule type="cellIs" dxfId="15" priority="14" stopIfTrue="1" operator="between">
      <formula>80</formula>
      <formula>89.999</formula>
    </cfRule>
    <cfRule type="cellIs" dxfId="14" priority="15" operator="greaterThanOrEqual">
      <formula>90</formula>
    </cfRule>
  </conditionalFormatting>
  <conditionalFormatting sqref="N60">
    <cfRule type="cellIs" dxfId="13" priority="16" operator="lessThanOrEqual">
      <formula>79.999</formula>
    </cfRule>
    <cfRule type="cellIs" dxfId="12" priority="17" stopIfTrue="1" operator="between">
      <formula>80</formula>
      <formula>89.999</formula>
    </cfRule>
    <cfRule type="cellIs" dxfId="11" priority="18" operator="greaterThanOrEqual">
      <formula>90</formula>
    </cfRule>
  </conditionalFormatting>
  <conditionalFormatting sqref="P60">
    <cfRule type="cellIs" dxfId="10" priority="19" operator="lessThanOrEqual">
      <formula>79.999</formula>
    </cfRule>
    <cfRule type="cellIs" dxfId="9" priority="20" stopIfTrue="1" operator="between">
      <formula>80</formula>
      <formula>89.999</formula>
    </cfRule>
    <cfRule type="cellIs" dxfId="8" priority="21" operator="greaterThanOrEqual">
      <formula>90</formula>
    </cfRule>
  </conditionalFormatting>
  <conditionalFormatting sqref="E59 G59 I59 K59 M59 O59">
    <cfRule type="cellIs" dxfId="7" priority="24" operator="lessThan">
      <formula>9.59</formula>
    </cfRule>
  </conditionalFormatting>
  <conditionalFormatting sqref="E59 G59 I59 K59 M59 O59">
    <cfRule type="cellIs" dxfId="6" priority="1" operator="between">
      <formula>9.6</formula>
      <formula>9.89</formula>
    </cfRule>
  </conditionalFormatting>
  <pageMargins left="0.25" right="0.25" top="0.75" bottom="0.75" header="0.3" footer="0.3"/>
  <pageSetup fitToHeight="0" orientation="landscape"/>
  <colBreaks count="1" manualBreakCount="1">
    <brk id="20"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O102"/>
  <sheetViews>
    <sheetView workbookViewId="0">
      <selection activeCell="P18" sqref="P18"/>
    </sheetView>
  </sheetViews>
  <sheetFormatPr defaultColWidth="14.28515625" defaultRowHeight="15" customHeight="1"/>
  <cols>
    <col min="1" max="1" width="17" bestFit="1" customWidth="1"/>
    <col min="2" max="2" width="15" bestFit="1" customWidth="1"/>
    <col min="3" max="3" width="6.7109375" style="26" customWidth="1"/>
    <col min="4" max="4" width="6.140625" customWidth="1"/>
    <col min="5" max="11" width="8.28515625" style="26" customWidth="1"/>
    <col min="12" max="15" width="4.140625" bestFit="1" customWidth="1"/>
  </cols>
  <sheetData>
    <row r="1" spans="1:11" ht="20.100000000000001">
      <c r="A1" s="14" t="s">
        <v>51</v>
      </c>
      <c r="B1" s="15" t="s">
        <v>52</v>
      </c>
      <c r="C1" s="23" t="s">
        <v>12</v>
      </c>
      <c r="D1" s="15" t="s">
        <v>53</v>
      </c>
      <c r="E1" s="23" t="s">
        <v>1</v>
      </c>
      <c r="F1" s="23" t="s">
        <v>2</v>
      </c>
      <c r="G1" s="23" t="s">
        <v>3</v>
      </c>
      <c r="H1" s="23" t="s">
        <v>4</v>
      </c>
      <c r="I1" s="23" t="s">
        <v>5</v>
      </c>
      <c r="J1" s="23" t="s">
        <v>6</v>
      </c>
      <c r="K1" s="24" t="s">
        <v>7</v>
      </c>
    </row>
    <row r="2" spans="1:11">
      <c r="A2" s="16" t="str">
        <f>Hoja3!A29</f>
        <v>SANTI POWER</v>
      </c>
      <c r="B2" s="17" t="str">
        <f>Hoja3!A1</f>
        <v>NACIONAL 2026</v>
      </c>
      <c r="C2" s="25">
        <v>4</v>
      </c>
      <c r="D2" s="19" t="s">
        <v>54</v>
      </c>
      <c r="E2" s="25">
        <f>Hoja3!F29</f>
        <v>8.4659999999999993</v>
      </c>
      <c r="F2" s="25">
        <f>Hoja3!H29</f>
        <v>8.3330000000000002</v>
      </c>
      <c r="G2" s="27">
        <f>Hoja3!J29</f>
        <v>8.5660000000000007</v>
      </c>
      <c r="H2" s="25">
        <f>Hoja3!L29</f>
        <v>8.9659999999999993</v>
      </c>
      <c r="I2" s="25">
        <f>Hoja3!N29</f>
        <v>8.5340000000000007</v>
      </c>
      <c r="J2" s="25">
        <f>Hoja3!P29</f>
        <v>9.0340000000000007</v>
      </c>
      <c r="K2" s="25">
        <f t="shared" ref="K2:K29" si="0">SUM(E2:J2)</f>
        <v>51.899000000000001</v>
      </c>
    </row>
    <row r="3" spans="1:11">
      <c r="A3" s="16" t="str">
        <f>Hoja3!A47</f>
        <v>DAVID</v>
      </c>
      <c r="B3" s="17" t="str">
        <f>Hoja3!A1</f>
        <v>NACIONAL 2026</v>
      </c>
      <c r="C3" s="25">
        <v>4</v>
      </c>
      <c r="D3" s="20" t="s">
        <v>55</v>
      </c>
      <c r="E3" s="25">
        <f>Hoja3!F47</f>
        <v>7.5330000000000004</v>
      </c>
      <c r="F3" s="25">
        <f>Hoja3!H47</f>
        <v>8.0660000000000007</v>
      </c>
      <c r="G3" s="25">
        <f>Hoja3!J47</f>
        <v>8.1329999999999991</v>
      </c>
      <c r="H3" s="25">
        <f>Hoja3!L47</f>
        <v>8.7330000000000005</v>
      </c>
      <c r="I3" s="25">
        <f>Hoja3!N47</f>
        <v>7.7329999999999997</v>
      </c>
      <c r="J3" s="25">
        <f>Hoja3!P47</f>
        <v>8.1329999999999991</v>
      </c>
      <c r="K3" s="25">
        <f t="shared" si="0"/>
        <v>48.331000000000003</v>
      </c>
    </row>
    <row r="4" spans="1:11">
      <c r="A4" s="16" t="str">
        <f>Hoja3!A39</f>
        <v>EMI</v>
      </c>
      <c r="B4" s="17" t="str">
        <f>Hoja3!A1</f>
        <v>NACIONAL 2026</v>
      </c>
      <c r="C4" s="25">
        <v>4</v>
      </c>
      <c r="D4" s="20" t="s">
        <v>55</v>
      </c>
      <c r="E4" s="25">
        <f>Hoja3!F39</f>
        <v>8.4659999999999993</v>
      </c>
      <c r="F4" s="25">
        <f>Hoja3!H39</f>
        <v>8.6999999999999993</v>
      </c>
      <c r="G4" s="25">
        <f>Hoja3!J39</f>
        <v>8.5660000000000007</v>
      </c>
      <c r="H4" s="25">
        <f>Hoja3!L39</f>
        <v>8.5329999999999995</v>
      </c>
      <c r="I4" s="25">
        <f>Hoja3!N39</f>
        <v>8.0329999999999995</v>
      </c>
      <c r="J4" s="25">
        <f>Hoja3!P39</f>
        <v>7.9</v>
      </c>
      <c r="K4" s="25">
        <f t="shared" si="0"/>
        <v>50.198</v>
      </c>
    </row>
    <row r="5" spans="1:11">
      <c r="A5" s="16" t="str">
        <f>Hoja3!A23</f>
        <v>LEITO</v>
      </c>
      <c r="B5" s="17" t="str">
        <f>Hoja3!A1</f>
        <v>NACIONAL 2026</v>
      </c>
      <c r="C5" s="25">
        <v>4</v>
      </c>
      <c r="D5" s="20" t="s">
        <v>55</v>
      </c>
      <c r="E5" s="25">
        <f>Hoja3!F23</f>
        <v>8.9659999999999993</v>
      </c>
      <c r="F5" s="25">
        <f>Hoja3!H23</f>
        <v>8.8000000000000007</v>
      </c>
      <c r="G5" s="25">
        <f>Hoja3!J23</f>
        <v>9.0660000000000007</v>
      </c>
      <c r="H5" s="25">
        <f>Hoja3!L23</f>
        <v>8.7330000000000005</v>
      </c>
      <c r="I5" s="25">
        <f>Hoja3!N23</f>
        <v>9.0329999999999995</v>
      </c>
      <c r="J5" s="25">
        <f>Hoja3!P23</f>
        <v>8.9</v>
      </c>
      <c r="K5" s="25">
        <f t="shared" si="0"/>
        <v>53.497999999999998</v>
      </c>
    </row>
    <row r="6" spans="1:11">
      <c r="A6" s="16" t="str">
        <f>Hoja3!A27</f>
        <v>NIQUITO</v>
      </c>
      <c r="B6" s="17" t="str">
        <f>Hoja3!A1</f>
        <v>NACIONAL 2026</v>
      </c>
      <c r="C6" s="25">
        <v>4</v>
      </c>
      <c r="D6" s="20" t="s">
        <v>55</v>
      </c>
      <c r="E6" s="25">
        <f>Hoja3!F27</f>
        <v>8.9659999999999993</v>
      </c>
      <c r="F6" s="25">
        <f>Hoja3!H27</f>
        <v>8.4</v>
      </c>
      <c r="G6" s="25">
        <f>Hoja3!J27</f>
        <v>8.6660000000000004</v>
      </c>
      <c r="H6" s="25">
        <f>Hoja3!L27</f>
        <v>8.8000000000000007</v>
      </c>
      <c r="I6" s="25">
        <f>Hoja3!N27</f>
        <v>8.9</v>
      </c>
      <c r="J6" s="25">
        <f>Hoja3!P27</f>
        <v>8.4</v>
      </c>
      <c r="K6" s="25">
        <f t="shared" si="0"/>
        <v>52.131999999999998</v>
      </c>
    </row>
    <row r="7" spans="1:11">
      <c r="A7" s="16" t="str">
        <f>Hoja3!A41</f>
        <v>CUEVAS</v>
      </c>
      <c r="B7" s="17" t="str">
        <f>Hoja3!A1</f>
        <v>NACIONAL 2026</v>
      </c>
      <c r="C7" s="25">
        <v>4</v>
      </c>
      <c r="D7" s="20" t="s">
        <v>55</v>
      </c>
      <c r="E7" s="25">
        <f>Hoja3!F41</f>
        <v>7.4</v>
      </c>
      <c r="F7" s="25">
        <f>Hoja3!H41</f>
        <v>8.6329999999999991</v>
      </c>
      <c r="G7" s="25">
        <f>Hoja3!J41</f>
        <v>8.3659999999999997</v>
      </c>
      <c r="H7" s="25">
        <f>Hoja3!L41</f>
        <v>8.8330000000000002</v>
      </c>
      <c r="I7" s="25">
        <f>Hoja3!N41</f>
        <v>8.0660000000000007</v>
      </c>
      <c r="J7" s="25">
        <f>Hoja3!P41</f>
        <v>8.1660000000000004</v>
      </c>
      <c r="K7" s="25">
        <f t="shared" si="0"/>
        <v>49.463999999999999</v>
      </c>
    </row>
    <row r="8" spans="1:11">
      <c r="A8" s="16" t="str">
        <f>Hoja3!A35</f>
        <v>CHARLY</v>
      </c>
      <c r="B8" s="17" t="str">
        <f>Hoja3!A1</f>
        <v>NACIONAL 2026</v>
      </c>
      <c r="C8" s="25">
        <v>4</v>
      </c>
      <c r="D8" s="20" t="s">
        <v>55</v>
      </c>
      <c r="E8" s="25">
        <f>Hoja3!F35</f>
        <v>7.8</v>
      </c>
      <c r="F8" s="25">
        <f>Hoja3!H35</f>
        <v>8.6329999999999991</v>
      </c>
      <c r="G8" s="25">
        <f>Hoja3!J35</f>
        <v>8.4</v>
      </c>
      <c r="H8" s="25">
        <f>Hoja3!L35</f>
        <v>8.5329999999999995</v>
      </c>
      <c r="I8" s="25">
        <f>Hoja3!N35</f>
        <v>8.8330000000000002</v>
      </c>
      <c r="J8" s="25">
        <f>Hoja3!P35</f>
        <v>8.6999999999999993</v>
      </c>
      <c r="K8" s="25">
        <f t="shared" si="0"/>
        <v>50.899000000000001</v>
      </c>
    </row>
    <row r="9" spans="1:11" ht="15.75" customHeight="1">
      <c r="A9" s="16" t="str">
        <f>Hoja3!A59</f>
        <v>BRUNO BAEZ</v>
      </c>
      <c r="B9" s="17" t="str">
        <f>Hoja3!A1</f>
        <v>NACIONAL 2026</v>
      </c>
      <c r="C9" s="25">
        <v>4</v>
      </c>
      <c r="D9" s="29" t="s">
        <v>56</v>
      </c>
      <c r="E9" s="25">
        <f>Hoja3!F59</f>
        <v>0</v>
      </c>
      <c r="F9" s="25">
        <f>Hoja3!H59</f>
        <v>0</v>
      </c>
      <c r="G9" s="25">
        <f>Hoja3!J59</f>
        <v>0</v>
      </c>
      <c r="H9" s="25">
        <f>Hoja3!L59</f>
        <v>0</v>
      </c>
      <c r="I9" s="25">
        <f>Hoja3!N59</f>
        <v>0</v>
      </c>
      <c r="J9" s="25">
        <f>Hoja3!P59</f>
        <v>0</v>
      </c>
      <c r="K9" s="25">
        <f t="shared" ref="K9" si="1">SUM(E9:J9)</f>
        <v>0</v>
      </c>
    </row>
    <row r="10" spans="1:11" ht="15.75" customHeight="1">
      <c r="A10" s="16" t="str">
        <f>Hoja3!A31</f>
        <v>CHEMA</v>
      </c>
      <c r="B10" s="17" t="str">
        <f>Hoja3!A1</f>
        <v>NACIONAL 2026</v>
      </c>
      <c r="C10" s="25">
        <v>4</v>
      </c>
      <c r="D10" s="29" t="s">
        <v>56</v>
      </c>
      <c r="E10" s="25">
        <f>Hoja3!F31</f>
        <v>8.4329999999999998</v>
      </c>
      <c r="F10" s="25">
        <f>Hoja3!H31</f>
        <v>8.4329999999999998</v>
      </c>
      <c r="G10" s="25">
        <f>Hoja3!J31</f>
        <v>8.3000000000000007</v>
      </c>
      <c r="H10" s="25">
        <f>Hoja3!L31</f>
        <v>8.9659999999999993</v>
      </c>
      <c r="I10" s="25">
        <f>Hoja3!N31</f>
        <v>8.266</v>
      </c>
      <c r="J10" s="25">
        <f>Hoja3!P31</f>
        <v>8.8000000000000007</v>
      </c>
      <c r="K10" s="25">
        <f t="shared" si="0"/>
        <v>51.197999999999993</v>
      </c>
    </row>
    <row r="11" spans="1:11" ht="15.75" customHeight="1">
      <c r="A11" s="16" t="str">
        <f>Hoja3!A33</f>
        <v>ALFRED</v>
      </c>
      <c r="B11" s="17" t="str">
        <f>Hoja3!A1</f>
        <v>NACIONAL 2026</v>
      </c>
      <c r="C11" s="25">
        <v>4</v>
      </c>
      <c r="D11" s="29" t="s">
        <v>56</v>
      </c>
      <c r="E11" s="25">
        <f>Hoja3!F33</f>
        <v>7.8659999999999997</v>
      </c>
      <c r="F11" s="25">
        <f>Hoja3!H33</f>
        <v>9.1999999999999993</v>
      </c>
      <c r="G11" s="25">
        <f>Hoja3!J33</f>
        <v>8.6999999999999993</v>
      </c>
      <c r="H11" s="25">
        <f>Hoja3!L33</f>
        <v>9.266</v>
      </c>
      <c r="I11" s="25">
        <f>Hoja3!N33</f>
        <v>8.3659999999999997</v>
      </c>
      <c r="J11" s="25">
        <f>Hoja3!P33</f>
        <v>7.6</v>
      </c>
      <c r="K11" s="25">
        <f t="shared" si="0"/>
        <v>50.997999999999998</v>
      </c>
    </row>
    <row r="12" spans="1:11" ht="15.75" customHeight="1">
      <c r="A12" s="16" t="str">
        <f>Hoja3!A43</f>
        <v>MAURO</v>
      </c>
      <c r="B12" s="17" t="str">
        <f>Hoja3!A1</f>
        <v>NACIONAL 2026</v>
      </c>
      <c r="C12" s="25">
        <v>4</v>
      </c>
      <c r="D12" s="28" t="s">
        <v>57</v>
      </c>
      <c r="E12" s="25">
        <f>Hoja3!F43</f>
        <v>7.766</v>
      </c>
      <c r="F12" s="25">
        <f>Hoja3!H43</f>
        <v>8.6</v>
      </c>
      <c r="G12" s="25">
        <f>Hoja3!J43</f>
        <v>7.867</v>
      </c>
      <c r="H12" s="25">
        <f>Hoja3!L43</f>
        <v>8.6</v>
      </c>
      <c r="I12" s="25">
        <f>Hoja3!N43</f>
        <v>7.9340000000000002</v>
      </c>
      <c r="J12" s="25">
        <f>Hoja3!P43</f>
        <v>8.6660000000000004</v>
      </c>
      <c r="K12" s="25">
        <f>SUM(E12:J12)</f>
        <v>49.432999999999993</v>
      </c>
    </row>
    <row r="13" spans="1:11" ht="15.75" customHeight="1">
      <c r="A13" s="16" t="str">
        <f>Hoja3!A25</f>
        <v>CHAVEZ</v>
      </c>
      <c r="B13" s="17" t="str">
        <f>Hoja3!A1</f>
        <v>NACIONAL 2026</v>
      </c>
      <c r="C13" s="25">
        <v>4</v>
      </c>
      <c r="D13" s="28" t="s">
        <v>57</v>
      </c>
      <c r="E13" s="25">
        <f>Hoja3!F25</f>
        <v>8.2330000000000005</v>
      </c>
      <c r="F13" s="25">
        <f>Hoja3!H25</f>
        <v>8.9329999999999998</v>
      </c>
      <c r="G13" s="25">
        <f>Hoja3!J25</f>
        <v>8.5329999999999995</v>
      </c>
      <c r="H13" s="25">
        <f>Hoja3!L25</f>
        <v>9.3000000000000007</v>
      </c>
      <c r="I13" s="25">
        <f>Hoja3!N25</f>
        <v>8.7669999999999995</v>
      </c>
      <c r="J13" s="25">
        <f>Hoja3!P25</f>
        <v>9</v>
      </c>
      <c r="K13" s="25">
        <f t="shared" si="0"/>
        <v>52.765999999999991</v>
      </c>
    </row>
    <row r="14" spans="1:11" ht="15.75" customHeight="1">
      <c r="A14" s="16" t="str">
        <f>Hoja3!A57</f>
        <v>PATO</v>
      </c>
      <c r="B14" s="17" t="str">
        <f>Hoja3!A1</f>
        <v>NACIONAL 2026</v>
      </c>
      <c r="C14" s="25">
        <v>5</v>
      </c>
      <c r="D14" s="29" t="s">
        <v>56</v>
      </c>
      <c r="E14" s="25">
        <f>Hoja3!F57</f>
        <v>0</v>
      </c>
      <c r="F14" s="25">
        <f>Hoja3!H57</f>
        <v>0</v>
      </c>
      <c r="G14" s="25">
        <f>Hoja3!J57</f>
        <v>0</v>
      </c>
      <c r="H14" s="25">
        <f>Hoja3!L57</f>
        <v>0</v>
      </c>
      <c r="I14" s="25">
        <f>Hoja3!N57</f>
        <v>0</v>
      </c>
      <c r="J14" s="25">
        <f>Hoja3!P57</f>
        <v>0</v>
      </c>
      <c r="K14" s="25">
        <f t="shared" ref="K14" si="2">SUM(E14:J14)</f>
        <v>0</v>
      </c>
    </row>
    <row r="15" spans="1:11" ht="15.75" customHeight="1">
      <c r="A15" s="16" t="str">
        <f>Hoja3!A45</f>
        <v>BRUNITO</v>
      </c>
      <c r="B15" s="17" t="str">
        <f>Hoja3!A1</f>
        <v>NACIONAL 2026</v>
      </c>
      <c r="C15" s="25">
        <v>5</v>
      </c>
      <c r="D15" s="19" t="s">
        <v>54</v>
      </c>
      <c r="E15" s="25">
        <f>Hoja3!F45</f>
        <v>7.8659999999999997</v>
      </c>
      <c r="F15" s="25">
        <f>Hoja3!H45</f>
        <v>8.8659999999999997</v>
      </c>
      <c r="G15" s="25">
        <f>Hoja3!J45</f>
        <v>8.0340000000000007</v>
      </c>
      <c r="H15" s="25">
        <f>Hoja3!L45</f>
        <v>8.0329999999999995</v>
      </c>
      <c r="I15" s="25">
        <f>Hoja3!N45</f>
        <v>8.9</v>
      </c>
      <c r="J15" s="25">
        <f>Hoja3!P45</f>
        <v>7.5</v>
      </c>
      <c r="K15" s="25">
        <f t="shared" si="0"/>
        <v>49.198999999999998</v>
      </c>
    </row>
    <row r="16" spans="1:11" ht="15.75" customHeight="1">
      <c r="A16" s="16" t="str">
        <f>Hoja3!A37</f>
        <v>NICO CAPI</v>
      </c>
      <c r="B16" s="17" t="str">
        <f>Hoja3!A1</f>
        <v>NACIONAL 2026</v>
      </c>
      <c r="C16" s="25">
        <v>5</v>
      </c>
      <c r="D16" s="20" t="s">
        <v>55</v>
      </c>
      <c r="E16" s="25">
        <f>Hoja3!F37</f>
        <v>7.4660000000000002</v>
      </c>
      <c r="F16" s="25">
        <f>Hoja3!H37</f>
        <v>9.0660000000000007</v>
      </c>
      <c r="G16" s="25">
        <f>Hoja3!J37</f>
        <v>8.3339999999999996</v>
      </c>
      <c r="H16" s="25">
        <f>Hoja3!L37</f>
        <v>9.1300000000000008</v>
      </c>
      <c r="I16" s="25">
        <f>Hoja3!N37</f>
        <v>8.1999999999999993</v>
      </c>
      <c r="J16" s="25">
        <f>Hoja3!P37</f>
        <v>8.0329999999999995</v>
      </c>
      <c r="K16" s="25">
        <f t="shared" si="0"/>
        <v>50.228999999999999</v>
      </c>
    </row>
    <row r="17" spans="1:11" ht="15.75" customHeight="1">
      <c r="A17" s="16" t="str">
        <f>Hoja3!A49</f>
        <v>BRITTAN</v>
      </c>
      <c r="B17" s="17" t="str">
        <f>Hoja3!A1</f>
        <v>NACIONAL 2026</v>
      </c>
      <c r="C17" s="25">
        <v>5</v>
      </c>
      <c r="D17" s="29" t="s">
        <v>56</v>
      </c>
      <c r="E17" s="25">
        <f>Hoja3!F49</f>
        <v>7.8</v>
      </c>
      <c r="F17" s="25">
        <f>Hoja3!H49</f>
        <v>7.6660000000000004</v>
      </c>
      <c r="G17" s="25">
        <f>Hoja3!J49</f>
        <v>7.5</v>
      </c>
      <c r="H17" s="25">
        <f>Hoja3!L49</f>
        <v>8.266</v>
      </c>
      <c r="I17" s="25">
        <f>Hoja3!N49</f>
        <v>8.0660000000000007</v>
      </c>
      <c r="J17" s="25">
        <f>Hoja3!P49</f>
        <v>7.1</v>
      </c>
      <c r="K17" s="25">
        <f t="shared" si="0"/>
        <v>46.398000000000003</v>
      </c>
    </row>
    <row r="18" spans="1:11" ht="15.75" customHeight="1">
      <c r="A18" s="16" t="str">
        <f>Hoja3!A55</f>
        <v>MARIO</v>
      </c>
      <c r="B18" s="17" t="str">
        <f>Hoja3!A1</f>
        <v>NACIONAL 2026</v>
      </c>
      <c r="C18" s="25">
        <v>6</v>
      </c>
      <c r="D18" s="19" t="s">
        <v>54</v>
      </c>
      <c r="E18" s="25">
        <f>Hoja3!F55</f>
        <v>7.4329999999999998</v>
      </c>
      <c r="F18" s="25">
        <f>Hoja3!H55</f>
        <v>6.0330000000000004</v>
      </c>
      <c r="G18" s="25">
        <f>Hoja3!J55</f>
        <v>6.8</v>
      </c>
      <c r="H18" s="25">
        <f>Hoja3!L55</f>
        <v>8.1999999999999993</v>
      </c>
      <c r="I18" s="25">
        <f>Hoja3!N55</f>
        <v>6.1660000000000004</v>
      </c>
      <c r="J18" s="25">
        <f>Hoja3!P55</f>
        <v>7.03</v>
      </c>
      <c r="K18" s="25">
        <f t="shared" si="0"/>
        <v>41.662000000000006</v>
      </c>
    </row>
    <row r="19" spans="1:11" ht="15.75" customHeight="1">
      <c r="A19" s="16" t="str">
        <f>Hoja3!A51</f>
        <v>SANTI LEE</v>
      </c>
      <c r="B19" s="17" t="str">
        <f>Hoja3!A1</f>
        <v>NACIONAL 2026</v>
      </c>
      <c r="C19" s="25">
        <v>6</v>
      </c>
      <c r="D19" s="20" t="s">
        <v>55</v>
      </c>
      <c r="E19" s="25">
        <f>Hoja3!F51</f>
        <v>6.8339999999999996</v>
      </c>
      <c r="F19" s="25">
        <f>Hoja3!H51</f>
        <v>8.6</v>
      </c>
      <c r="G19" s="25">
        <f>Hoja3!J51</f>
        <v>7.95</v>
      </c>
      <c r="H19" s="25">
        <f>Hoja3!L51</f>
        <v>8.64</v>
      </c>
      <c r="I19" s="25">
        <f>Hoja3!N51</f>
        <v>7.4</v>
      </c>
      <c r="J19" s="25">
        <f>Hoja3!P51</f>
        <v>6.7329999999999997</v>
      </c>
      <c r="K19" s="25">
        <f t="shared" si="0"/>
        <v>46.156999999999996</v>
      </c>
    </row>
    <row r="20" spans="1:11" ht="15.75" customHeight="1">
      <c r="A20" s="16" t="str">
        <f>Hoja3!A53</f>
        <v>MAX</v>
      </c>
      <c r="B20" s="17" t="str">
        <f>Hoja3!A1</f>
        <v>NACIONAL 2026</v>
      </c>
      <c r="C20" s="25">
        <v>6</v>
      </c>
      <c r="D20" s="20" t="s">
        <v>55</v>
      </c>
      <c r="E20" s="25">
        <f>Hoja3!F53</f>
        <v>7.44</v>
      </c>
      <c r="F20" s="25">
        <f>Hoja3!H53</f>
        <v>6.1660000000000004</v>
      </c>
      <c r="G20" s="25">
        <f>Hoja3!J53</f>
        <v>7.5</v>
      </c>
      <c r="H20" s="25">
        <f>Hoja3!L53</f>
        <v>8.6999999999999993</v>
      </c>
      <c r="I20" s="25">
        <f>Hoja3!N53</f>
        <v>6.8659999999999997</v>
      </c>
      <c r="J20" s="25">
        <f>Hoja3!P53</f>
        <v>6.4</v>
      </c>
      <c r="K20" s="25">
        <f t="shared" si="0"/>
        <v>43.071999999999996</v>
      </c>
    </row>
    <row r="21" spans="1:11" ht="15.75" customHeight="1">
      <c r="A21" s="16" t="str">
        <f>Hoja3!A4</f>
        <v>YERIK</v>
      </c>
      <c r="B21" s="17" t="str">
        <f>Hoja3!A1</f>
        <v>NACIONAL 2026</v>
      </c>
      <c r="C21" s="25">
        <v>7</v>
      </c>
      <c r="D21" s="20" t="s">
        <v>55</v>
      </c>
      <c r="E21" s="25">
        <f>Hoja3!F4</f>
        <v>11.2</v>
      </c>
      <c r="F21" s="25">
        <f>Hoja3!H4</f>
        <v>10.666</v>
      </c>
      <c r="G21" s="27">
        <f>Hoja3!J4</f>
        <v>11.2</v>
      </c>
      <c r="H21" s="25">
        <f>Hoja3!L4</f>
        <v>10.032999999999999</v>
      </c>
      <c r="I21" s="25">
        <f>Hoja3!N4</f>
        <v>11.032999999999999</v>
      </c>
      <c r="J21" s="25">
        <f>Hoja3!P4</f>
        <v>10.866</v>
      </c>
      <c r="K21" s="25">
        <f t="shared" si="0"/>
        <v>64.998000000000005</v>
      </c>
    </row>
    <row r="22" spans="1:11" ht="15.75" customHeight="1">
      <c r="A22" s="16" t="str">
        <f>Hoja3!A16</f>
        <v>FER</v>
      </c>
      <c r="B22" s="17" t="str">
        <f>Hoja3!A1</f>
        <v>NACIONAL 2026</v>
      </c>
      <c r="C22" s="25">
        <v>7</v>
      </c>
      <c r="D22" s="20" t="s">
        <v>55</v>
      </c>
      <c r="E22" s="25">
        <f>Hoja3!F16</f>
        <v>10.666</v>
      </c>
      <c r="F22" s="25">
        <f>Hoja3!H16</f>
        <v>10.233000000000001</v>
      </c>
      <c r="G22" s="25">
        <f>Hoja3!J16</f>
        <v>11.1</v>
      </c>
      <c r="H22" s="25">
        <f>Hoja3!L16</f>
        <v>9</v>
      </c>
      <c r="I22" s="25">
        <f>Hoja3!N16</f>
        <v>9.8000000000000007</v>
      </c>
      <c r="J22" s="25">
        <f>Hoja3!P16</f>
        <v>8.6</v>
      </c>
      <c r="K22" s="25">
        <f t="shared" si="0"/>
        <v>59.399000000000008</v>
      </c>
    </row>
    <row r="23" spans="1:11" ht="15.75" customHeight="1">
      <c r="A23" s="16" t="str">
        <f>Hoja3!A10</f>
        <v>VELA</v>
      </c>
      <c r="B23" s="17" t="str">
        <f>Hoja3!A1</f>
        <v>NACIONAL 2026</v>
      </c>
      <c r="C23" s="25">
        <v>8</v>
      </c>
      <c r="D23" s="19" t="s">
        <v>54</v>
      </c>
      <c r="E23" s="25">
        <f>Hoja3!F10</f>
        <v>11.866</v>
      </c>
      <c r="F23" s="25">
        <f>Hoja3!H10</f>
        <v>9.9</v>
      </c>
      <c r="G23" s="25">
        <f>Hoja3!J10</f>
        <v>10.5</v>
      </c>
      <c r="H23" s="25">
        <f>Hoja3!L10</f>
        <v>10.8</v>
      </c>
      <c r="I23" s="25">
        <f>Hoja3!N10</f>
        <v>11</v>
      </c>
      <c r="J23" s="25">
        <f>Hoja3!P10</f>
        <v>10.866</v>
      </c>
      <c r="K23" s="25">
        <f t="shared" si="0"/>
        <v>64.932000000000002</v>
      </c>
    </row>
    <row r="24" spans="1:11" ht="15.75" customHeight="1">
      <c r="A24" s="16" t="str">
        <f>Hoja3!A14</f>
        <v>ISAAC</v>
      </c>
      <c r="B24" s="17" t="str">
        <f>Hoja3!A1</f>
        <v>NACIONAL 2026</v>
      </c>
      <c r="C24" s="25">
        <v>9</v>
      </c>
      <c r="D24" s="19" t="s">
        <v>54</v>
      </c>
      <c r="E24" s="25">
        <f>Hoja3!F14</f>
        <v>10.3</v>
      </c>
      <c r="F24" s="25">
        <f>Hoja3!H14</f>
        <v>9.5660000000000007</v>
      </c>
      <c r="G24" s="25">
        <f>Hoja3!J14</f>
        <v>10.666</v>
      </c>
      <c r="H24" s="25">
        <f>Hoja3!L14</f>
        <v>10.3</v>
      </c>
      <c r="I24" s="25">
        <f>Hoja3!N14</f>
        <v>10.9</v>
      </c>
      <c r="J24" s="25">
        <f>Hoja3!P14</f>
        <v>9.4329999999999998</v>
      </c>
      <c r="K24" s="25">
        <f t="shared" si="0"/>
        <v>61.164999999999999</v>
      </c>
    </row>
    <row r="25" spans="1:11" ht="15.75" customHeight="1">
      <c r="A25" s="16" t="str">
        <f>Hoja3!A20</f>
        <v>CHAMPI</v>
      </c>
      <c r="B25" s="17" t="str">
        <f>Hoja3!A1</f>
        <v>NACIONAL 2026</v>
      </c>
      <c r="C25" s="25">
        <v>9</v>
      </c>
      <c r="D25" s="19" t="s">
        <v>54</v>
      </c>
      <c r="E25" s="25">
        <f>Hoja3!F20</f>
        <v>0</v>
      </c>
      <c r="F25" s="25">
        <f>Hoja3!H20</f>
        <v>0</v>
      </c>
      <c r="G25" s="25">
        <f>Hoja3!J20</f>
        <v>0</v>
      </c>
      <c r="H25" s="25">
        <f>Hoja3!L20</f>
        <v>0</v>
      </c>
      <c r="I25" s="25">
        <f>Hoja3!N20</f>
        <v>0</v>
      </c>
      <c r="J25" s="25">
        <f>Hoja3!P20</f>
        <v>0</v>
      </c>
      <c r="K25" s="25">
        <f t="shared" si="0"/>
        <v>0</v>
      </c>
    </row>
    <row r="26" spans="1:11" ht="15.75" customHeight="1">
      <c r="A26" s="16" t="str">
        <f>Hoja3!A6</f>
        <v>MIKEL</v>
      </c>
      <c r="B26" s="17" t="str">
        <f>Hoja3!A1</f>
        <v>NACIONAL 2026</v>
      </c>
      <c r="C26" s="25">
        <v>9</v>
      </c>
      <c r="D26" s="19" t="s">
        <v>54</v>
      </c>
      <c r="E26" s="25">
        <f>Hoja3!F6</f>
        <v>11.2</v>
      </c>
      <c r="F26" s="25">
        <f>Hoja3!H6</f>
        <v>9.6999999999999993</v>
      </c>
      <c r="G26" s="25">
        <f>Hoja3!J6</f>
        <v>10.733000000000001</v>
      </c>
      <c r="H26" s="25">
        <f>Hoja3!L6</f>
        <v>11.132999999999999</v>
      </c>
      <c r="I26" s="25">
        <f>Hoja3!N6</f>
        <v>9.9659999999999993</v>
      </c>
      <c r="J26" s="25">
        <f>Hoja3!P6</f>
        <v>10.632999999999999</v>
      </c>
      <c r="K26" s="25">
        <f t="shared" si="0"/>
        <v>63.364999999999995</v>
      </c>
    </row>
    <row r="27" spans="1:11" ht="15.75" customHeight="1">
      <c r="A27" s="16" t="str">
        <f>Hoja3!A18</f>
        <v>ALONSO</v>
      </c>
      <c r="B27" s="17" t="str">
        <f>Hoja3!A1</f>
        <v>NACIONAL 2026</v>
      </c>
      <c r="C27" s="25">
        <v>10</v>
      </c>
      <c r="D27" s="19" t="s">
        <v>54</v>
      </c>
      <c r="E27" s="25">
        <f>Hoja3!F18</f>
        <v>11.7</v>
      </c>
      <c r="F27" s="25">
        <f>Hoja3!H18</f>
        <v>5.4329999999999998</v>
      </c>
      <c r="G27" s="25">
        <f>Hoja3!J18</f>
        <v>10.666</v>
      </c>
      <c r="H27" s="25">
        <f>Hoja3!L18</f>
        <v>11.733000000000001</v>
      </c>
      <c r="I27" s="25">
        <f>Hoja3!N18</f>
        <v>10.733000000000001</v>
      </c>
      <c r="J27" s="25">
        <f>Hoja3!P18</f>
        <v>10.9</v>
      </c>
      <c r="K27" s="25">
        <f t="shared" si="0"/>
        <v>61.164999999999999</v>
      </c>
    </row>
    <row r="28" spans="1:11" ht="15.75" customHeight="1">
      <c r="A28" s="16" t="str">
        <f>Hoja3!A8</f>
        <v>RICHIE</v>
      </c>
      <c r="B28" s="17" t="str">
        <f>Hoja3!A1</f>
        <v>NACIONAL 2026</v>
      </c>
      <c r="C28" s="25">
        <v>10</v>
      </c>
      <c r="D28" s="19" t="s">
        <v>54</v>
      </c>
      <c r="E28" s="25">
        <f>Hoja3!F8</f>
        <v>11.933</v>
      </c>
      <c r="F28" s="25">
        <f>Hoja3!H8</f>
        <v>11.233000000000001</v>
      </c>
      <c r="G28" s="25">
        <f>Hoja3!J8</f>
        <v>11.366</v>
      </c>
      <c r="H28" s="25">
        <f>Hoja3!L8</f>
        <v>10.933</v>
      </c>
      <c r="I28" s="25">
        <f>Hoja3!N8</f>
        <v>11.1</v>
      </c>
      <c r="J28" s="25">
        <f>Hoja3!P8</f>
        <v>12.032999999999999</v>
      </c>
      <c r="K28" s="25">
        <f t="shared" si="0"/>
        <v>68.597999999999999</v>
      </c>
    </row>
    <row r="29" spans="1:11" ht="15.75" customHeight="1">
      <c r="A29" s="16" t="str">
        <f>Hoja3!A12</f>
        <v>DIEGO</v>
      </c>
      <c r="B29" s="17" t="str">
        <f>Hoja3!A1</f>
        <v>NACIONAL 2026</v>
      </c>
      <c r="C29" s="25">
        <v>10</v>
      </c>
      <c r="D29" s="19" t="s">
        <v>54</v>
      </c>
      <c r="E29" s="25">
        <f>Hoja3!F12</f>
        <v>0</v>
      </c>
      <c r="F29" s="25">
        <f>Hoja3!H12</f>
        <v>12.132999999999999</v>
      </c>
      <c r="G29" s="25">
        <f>Hoja3!J12</f>
        <v>13.233000000000001</v>
      </c>
      <c r="H29" s="25">
        <f>Hoja3!L12</f>
        <v>0</v>
      </c>
      <c r="I29" s="25">
        <f>Hoja3!N12</f>
        <v>12.2</v>
      </c>
      <c r="J29" s="25">
        <f>Hoja3!P12</f>
        <v>11.066000000000001</v>
      </c>
      <c r="K29" s="25">
        <f t="shared" si="0"/>
        <v>48.632000000000005</v>
      </c>
    </row>
    <row r="30" spans="1:11" ht="15.75" customHeight="1">
      <c r="A30" s="16"/>
      <c r="B30" s="18"/>
      <c r="C30" s="25"/>
      <c r="D30" s="18"/>
      <c r="E30" s="25"/>
      <c r="F30" s="25"/>
      <c r="G30" s="25"/>
      <c r="H30" s="25"/>
      <c r="I30" s="25"/>
      <c r="J30" s="25"/>
      <c r="K30" s="25"/>
    </row>
    <row r="31" spans="1:11" ht="15.75" customHeight="1">
      <c r="A31" s="16"/>
      <c r="B31" s="18"/>
      <c r="C31" s="25"/>
      <c r="D31" s="18"/>
      <c r="E31" s="25"/>
      <c r="F31" s="25"/>
      <c r="G31" s="25"/>
      <c r="H31" s="25"/>
      <c r="I31" s="25"/>
      <c r="J31" s="25"/>
      <c r="K31" s="25"/>
    </row>
    <row r="32" spans="1:11" ht="15.75" customHeight="1">
      <c r="A32" s="16"/>
      <c r="B32" s="18"/>
      <c r="C32" s="25"/>
      <c r="D32" s="18"/>
      <c r="E32" s="25"/>
      <c r="F32" s="25"/>
      <c r="G32" s="25"/>
      <c r="H32" s="25"/>
      <c r="I32" s="25"/>
      <c r="J32" s="25"/>
      <c r="K32" s="25"/>
    </row>
    <row r="33" spans="1:15" ht="15.75" customHeight="1">
      <c r="A33" s="16"/>
      <c r="B33" s="18"/>
      <c r="C33" s="25"/>
      <c r="D33" s="18"/>
      <c r="E33" s="25"/>
      <c r="F33" s="25"/>
      <c r="G33" s="25"/>
      <c r="H33" s="25"/>
      <c r="I33" s="25"/>
      <c r="J33" s="25"/>
      <c r="K33" s="25"/>
    </row>
    <row r="34" spans="1:15" ht="15.75" customHeight="1">
      <c r="A34" s="16"/>
      <c r="B34" s="18"/>
      <c r="C34" s="25"/>
      <c r="D34" s="18"/>
      <c r="E34" s="25"/>
      <c r="F34" s="25"/>
      <c r="G34" s="25"/>
      <c r="H34" s="25"/>
      <c r="I34" s="25"/>
      <c r="J34" s="25"/>
      <c r="K34" s="25"/>
    </row>
    <row r="35" spans="1:15" ht="15.75" customHeight="1">
      <c r="A35" s="16"/>
      <c r="B35" s="18"/>
      <c r="C35" s="25"/>
      <c r="D35" s="18"/>
      <c r="E35" s="25"/>
      <c r="F35" s="25"/>
      <c r="G35" s="25"/>
      <c r="H35" s="25"/>
      <c r="I35" s="25"/>
      <c r="J35" s="25"/>
      <c r="K35" s="25"/>
    </row>
    <row r="36" spans="1:15" ht="15.75" customHeight="1">
      <c r="A36" s="16"/>
      <c r="B36" s="36" t="s">
        <v>58</v>
      </c>
      <c r="C36" s="36"/>
      <c r="D36" s="36"/>
      <c r="E36" s="36"/>
      <c r="F36" s="36"/>
      <c r="G36" s="36"/>
      <c r="H36" s="36"/>
      <c r="I36" s="36"/>
      <c r="J36" s="37" t="s">
        <v>59</v>
      </c>
      <c r="K36" s="37"/>
      <c r="L36" s="37"/>
      <c r="M36" s="37"/>
      <c r="N36" s="37"/>
      <c r="O36" s="37"/>
    </row>
    <row r="37" spans="1:15" ht="12.75" customHeight="1">
      <c r="A37" s="16"/>
      <c r="B37" s="18" t="str" cm="1">
        <f t="array" ref="B37:I46">[1]NP!$A$2:$H$11</f>
        <v>DIEGO J</v>
      </c>
      <c r="C37" s="34">
        <v>15</v>
      </c>
      <c r="D37" s="35">
        <v>14.9</v>
      </c>
      <c r="E37" s="34">
        <v>14.6</v>
      </c>
      <c r="F37" s="34">
        <v>13.799999999999999</v>
      </c>
      <c r="G37" s="34">
        <v>14.5</v>
      </c>
      <c r="H37" s="34">
        <v>14.8</v>
      </c>
      <c r="I37" s="34">
        <v>78.8</v>
      </c>
      <c r="J37" s="30">
        <f>(100/C37)*Hoja3!E12</f>
        <v>0.66666666666666674</v>
      </c>
      <c r="K37" s="30">
        <f>(100/D37)*Hoja3!G12</f>
        <v>97.986577181208048</v>
      </c>
      <c r="L37" s="30">
        <f>(100/E37)*Hoja3!I12</f>
        <v>99.315068493150676</v>
      </c>
      <c r="M37" s="30">
        <f>(100/F37)*Hoja3!K12</f>
        <v>0.7246376811594204</v>
      </c>
      <c r="N37" s="30">
        <f>(100/G37)*Hoja3!M12</f>
        <v>100</v>
      </c>
      <c r="O37" s="30">
        <f>(100/H37)*Hoja3!O12</f>
        <v>95.27027027027026</v>
      </c>
    </row>
    <row r="38" spans="1:15" ht="12.75" customHeight="1">
      <c r="A38" s="16"/>
      <c r="B38" s="18" t="str">
        <v>RICHIE</v>
      </c>
      <c r="C38" s="25">
        <v>14.4</v>
      </c>
      <c r="D38" s="18">
        <v>13.799999999999999</v>
      </c>
      <c r="E38" s="25">
        <v>13.1</v>
      </c>
      <c r="F38" s="25">
        <v>13.6</v>
      </c>
      <c r="G38" s="25">
        <v>13.2</v>
      </c>
      <c r="H38" s="25">
        <v>13.5</v>
      </c>
      <c r="I38" s="25">
        <v>72.8</v>
      </c>
      <c r="J38" s="30">
        <f>(100/C38)*Hoja3!E8</f>
        <v>98.611111111111114</v>
      </c>
      <c r="K38" s="30">
        <f>(100/D38)*Hoja3!G8</f>
        <v>100.00000000000001</v>
      </c>
      <c r="L38" s="30">
        <f>(100/E38)*Hoja3!I8</f>
        <v>100</v>
      </c>
      <c r="M38" s="30">
        <f>(100/F38)*Hoja3!K8</f>
        <v>100</v>
      </c>
      <c r="N38" s="30">
        <f>(100/G38)*Hoja3!M8</f>
        <v>100</v>
      </c>
      <c r="O38" s="30">
        <f>(100/H38)*Hoja3!O8</f>
        <v>100</v>
      </c>
    </row>
    <row r="39" spans="1:15" ht="12.75" customHeight="1">
      <c r="A39" s="16"/>
      <c r="B39" s="18" t="str">
        <v>ALONSO</v>
      </c>
      <c r="C39" s="25">
        <v>14.3</v>
      </c>
      <c r="D39" s="18">
        <v>11.6</v>
      </c>
      <c r="E39" s="25">
        <v>12.9</v>
      </c>
      <c r="F39" s="25">
        <v>13.6</v>
      </c>
      <c r="G39" s="25">
        <v>13</v>
      </c>
      <c r="H39" s="25">
        <v>13</v>
      </c>
      <c r="I39" s="25">
        <v>69.599999999999994</v>
      </c>
      <c r="J39" s="30">
        <f>(100/C39)*Hoja3!E18</f>
        <v>99.300699300699293</v>
      </c>
      <c r="K39" s="30">
        <f>(100/D39)*Hoja3!G18</f>
        <v>72.413793103448285</v>
      </c>
      <c r="L39" s="30">
        <f>(100/E39)*Hoja3!I18</f>
        <v>96.899224806201545</v>
      </c>
      <c r="M39" s="30">
        <f>(100/F39)*Hoja3!K18</f>
        <v>100</v>
      </c>
      <c r="N39" s="30">
        <f>(100/G39)*Hoja3!M18</f>
        <v>100</v>
      </c>
      <c r="O39" s="30">
        <f>(100/H39)*Hoja3!O18</f>
        <v>100</v>
      </c>
    </row>
    <row r="40" spans="1:15" ht="15.75" customHeight="1">
      <c r="A40" s="16"/>
      <c r="B40" s="18" t="str">
        <v>MIKEL</v>
      </c>
      <c r="C40" s="25">
        <v>12.8</v>
      </c>
      <c r="D40" s="18">
        <v>12.1</v>
      </c>
      <c r="E40" s="25">
        <v>12.8</v>
      </c>
      <c r="F40" s="25">
        <v>12.8</v>
      </c>
      <c r="G40" s="25">
        <v>12.1</v>
      </c>
      <c r="H40" s="25">
        <v>12.4</v>
      </c>
      <c r="I40" s="25">
        <v>66.2</v>
      </c>
      <c r="J40" s="30">
        <f>(100/C40)*Hoja3!E6</f>
        <v>100</v>
      </c>
      <c r="K40" s="30">
        <f>(100/D40)*Hoja3!G6</f>
        <v>98.347107438016536</v>
      </c>
      <c r="L40" s="30">
        <f>(100/E40)*Hoja3!I6</f>
        <v>100</v>
      </c>
      <c r="M40" s="30">
        <f>(100/F40)*Hoja3!K6</f>
        <v>100</v>
      </c>
      <c r="N40" s="30">
        <f>(100/G40)*Hoja3!M6</f>
        <v>101.65289256198349</v>
      </c>
      <c r="O40" s="30">
        <f>(100/H40)*Hoja3!O6</f>
        <v>99.193548387096783</v>
      </c>
    </row>
    <row r="41" spans="1:15" ht="15.75" customHeight="1">
      <c r="A41" s="16"/>
      <c r="B41" s="18" t="str">
        <v>CHAMPI</v>
      </c>
      <c r="C41" s="25">
        <v>13.4</v>
      </c>
      <c r="D41" s="18">
        <v>11.799999999999999</v>
      </c>
      <c r="E41" s="25">
        <v>12.5</v>
      </c>
      <c r="F41" s="25">
        <v>11.8</v>
      </c>
      <c r="G41" s="25">
        <v>12.2</v>
      </c>
      <c r="H41" s="25">
        <v>13</v>
      </c>
      <c r="I41" s="25">
        <v>65.900000000000006</v>
      </c>
      <c r="J41" s="30">
        <f>(100/C41)*Hoja3!E20</f>
        <v>0.74626865671641796</v>
      </c>
      <c r="K41" s="30">
        <f>(100/D41)*Hoja3!G20</f>
        <v>0.84745762711864414</v>
      </c>
      <c r="L41" s="30">
        <f>(100/E41)*Hoja3!I20</f>
        <v>0.8</v>
      </c>
      <c r="M41" s="30">
        <f>(100/F41)*Hoja3!K20</f>
        <v>0.84745762711864403</v>
      </c>
      <c r="N41" s="30">
        <f>(100/G41)*Hoja3!M20</f>
        <v>0.81967213114754112</v>
      </c>
      <c r="O41" s="30">
        <f>(100/H41)*Hoja3!O20</f>
        <v>0.76923076923076927</v>
      </c>
    </row>
    <row r="42" spans="1:15" ht="15.75" customHeight="1">
      <c r="A42" s="16"/>
      <c r="B42" s="18" t="str">
        <v>ISAAC</v>
      </c>
      <c r="C42" s="25">
        <v>12.5</v>
      </c>
      <c r="D42" s="18">
        <v>12.2</v>
      </c>
      <c r="E42" s="25">
        <v>12.9</v>
      </c>
      <c r="F42" s="25">
        <v>12</v>
      </c>
      <c r="G42" s="25">
        <v>12.2</v>
      </c>
      <c r="H42" s="25">
        <v>12.8</v>
      </c>
      <c r="I42" s="25">
        <v>65.8</v>
      </c>
      <c r="J42" s="30">
        <f>(100/C42)*Hoja3!E14</f>
        <v>99.2</v>
      </c>
      <c r="K42" s="30">
        <f>(100/D42)*Hoja3!G14</f>
        <v>98.360655737704931</v>
      </c>
      <c r="L42" s="30">
        <f>(100/E42)*Hoja3!I14</f>
        <v>96.124031007751938</v>
      </c>
      <c r="M42" s="30">
        <f>(100/F42)*Hoja3!K14</f>
        <v>100</v>
      </c>
      <c r="N42" s="30">
        <f>(100/G42)*Hoja3!M14</f>
        <v>100.00000000000001</v>
      </c>
      <c r="O42" s="30">
        <f>(100/H42)*Hoja3!O14</f>
        <v>98.4375</v>
      </c>
    </row>
    <row r="43" spans="1:15" ht="15.75" customHeight="1">
      <c r="A43" s="16"/>
      <c r="B43" s="18" t="str">
        <v>VELA</v>
      </c>
      <c r="C43" s="25">
        <v>13.3</v>
      </c>
      <c r="D43" s="18">
        <v>13</v>
      </c>
      <c r="E43" s="25">
        <v>12.899999999999999</v>
      </c>
      <c r="F43" s="25">
        <v>12.4</v>
      </c>
      <c r="G43" s="25">
        <v>12.9</v>
      </c>
      <c r="H43" s="25">
        <v>12.8</v>
      </c>
      <c r="I43" s="25">
        <v>68.5</v>
      </c>
      <c r="J43" s="30">
        <f>(100/C43)*Hoja3!E10</f>
        <v>100</v>
      </c>
      <c r="K43" s="30">
        <f>(100/D43)*Hoja3!G10</f>
        <v>96.92307692307692</v>
      </c>
      <c r="L43" s="30">
        <f>(100/E43)*Hoja3!I10</f>
        <v>99.224806201550393</v>
      </c>
      <c r="M43" s="30">
        <f>(100/F43)*Hoja3!K10</f>
        <v>100</v>
      </c>
      <c r="N43" s="30">
        <f>(100/G43)*Hoja3!M10</f>
        <v>102.32558139534882</v>
      </c>
      <c r="O43" s="30">
        <f>(100/H43)*Hoja3!O10</f>
        <v>99.21875</v>
      </c>
    </row>
    <row r="44" spans="1:15" ht="15.75" customHeight="1">
      <c r="A44" s="16"/>
      <c r="B44" s="18" t="str">
        <v>FER</v>
      </c>
      <c r="C44" s="25">
        <v>12.4</v>
      </c>
      <c r="D44" s="18">
        <v>12.3</v>
      </c>
      <c r="E44" s="25">
        <v>12.2</v>
      </c>
      <c r="F44" s="25">
        <v>12.2</v>
      </c>
      <c r="G44" s="25">
        <v>12.4</v>
      </c>
      <c r="H44" s="25">
        <v>12.2</v>
      </c>
      <c r="I44" s="25">
        <v>67.7</v>
      </c>
      <c r="J44" s="30">
        <f>(100/C44)*Hoja3!E16</f>
        <v>99.193548387096783</v>
      </c>
      <c r="K44" s="30">
        <f>(100/D44)*Hoja3!G16</f>
        <v>98.373983739837385</v>
      </c>
      <c r="L44" s="30">
        <f>(100/E44)*Hoja3!I16</f>
        <v>100.00000000000001</v>
      </c>
      <c r="M44" s="30">
        <f>(100/F44)*Hoja3!K16</f>
        <v>100.00000000000001</v>
      </c>
      <c r="N44" s="30">
        <f>(100/G44)*Hoja3!M16</f>
        <v>99.193548387096783</v>
      </c>
      <c r="O44" s="30">
        <f>(100/H44)*Hoja3!O16</f>
        <v>100.00000000000001</v>
      </c>
    </row>
    <row r="45" spans="1:15" ht="15.75" customHeight="1">
      <c r="A45" s="16"/>
      <c r="B45" s="18" t="str">
        <v>YERIK</v>
      </c>
      <c r="C45" s="25">
        <v>12.3</v>
      </c>
      <c r="D45" s="18">
        <v>12.1</v>
      </c>
      <c r="E45" s="25">
        <v>12.2</v>
      </c>
      <c r="F45" s="25">
        <v>12.4</v>
      </c>
      <c r="G45" s="25">
        <v>12.2</v>
      </c>
      <c r="H45" s="25">
        <v>12.1</v>
      </c>
      <c r="I45" s="25">
        <v>67.299999999999983</v>
      </c>
      <c r="J45" s="30">
        <f>(100/C45)*Hoja3!E4</f>
        <v>99.999999999999986</v>
      </c>
      <c r="K45" s="30">
        <f>(100/D45)*Hoja3!G4</f>
        <v>100.00000000000001</v>
      </c>
      <c r="L45" s="30">
        <f>(100/E45)*Hoja3!I4</f>
        <v>100.00000000000001</v>
      </c>
      <c r="M45" s="30">
        <f>(100/F45)*Hoja3!K4</f>
        <v>100</v>
      </c>
      <c r="N45" s="30">
        <f>(100/G45)*Hoja3!M4</f>
        <v>100.00000000000001</v>
      </c>
      <c r="O45" s="30">
        <f>(100/H45)*Hoja3!O4</f>
        <v>100.00000000000001</v>
      </c>
    </row>
    <row r="46" spans="1:15" ht="15.75" customHeight="1">
      <c r="A46" s="16"/>
      <c r="B46" s="18">
        <v>0</v>
      </c>
      <c r="C46" s="25">
        <v>0</v>
      </c>
      <c r="D46" s="18">
        <v>0</v>
      </c>
      <c r="E46" s="25">
        <v>0</v>
      </c>
      <c r="F46" s="25">
        <v>0</v>
      </c>
      <c r="G46" s="25">
        <v>0</v>
      </c>
      <c r="H46" s="25">
        <v>0</v>
      </c>
      <c r="I46" s="25">
        <v>0</v>
      </c>
      <c r="J46" s="25"/>
      <c r="K46" s="25"/>
    </row>
    <row r="47" spans="1:15" ht="15.75" customHeight="1">
      <c r="A47" s="16"/>
      <c r="B47" s="18"/>
      <c r="C47" s="25"/>
      <c r="D47" s="18"/>
      <c r="E47" s="25"/>
      <c r="F47" s="25"/>
      <c r="G47" s="25"/>
      <c r="H47" s="25"/>
      <c r="I47" s="25"/>
      <c r="J47" s="25"/>
      <c r="K47" s="25"/>
    </row>
    <row r="48" spans="1:15" ht="15.75" customHeight="1">
      <c r="A48" s="16"/>
      <c r="B48" s="18"/>
      <c r="C48" s="25"/>
      <c r="D48" s="18"/>
      <c r="E48" s="25"/>
      <c r="F48" s="25"/>
      <c r="G48" s="25"/>
      <c r="H48" s="25"/>
      <c r="I48" s="25"/>
      <c r="J48" s="25"/>
      <c r="K48" s="25"/>
    </row>
    <row r="49" spans="1:11" ht="15.75" customHeight="1">
      <c r="A49" s="16"/>
      <c r="B49" s="18"/>
      <c r="C49" s="25"/>
      <c r="D49" s="18"/>
      <c r="E49" s="25"/>
      <c r="F49" s="25"/>
      <c r="G49" s="25"/>
      <c r="H49" s="25"/>
      <c r="I49" s="25"/>
      <c r="J49" s="25"/>
      <c r="K49" s="25"/>
    </row>
    <row r="50" spans="1:11" ht="15.75" customHeight="1">
      <c r="A50" s="16"/>
      <c r="B50" s="18"/>
      <c r="C50" s="25"/>
      <c r="D50" s="18"/>
      <c r="E50" s="25"/>
      <c r="F50" s="25"/>
      <c r="G50" s="25"/>
      <c r="H50" s="25"/>
      <c r="I50" s="25"/>
      <c r="J50" s="25"/>
      <c r="K50" s="25"/>
    </row>
    <row r="51" spans="1:11" ht="15.75" customHeight="1">
      <c r="A51" s="16"/>
      <c r="B51" s="18"/>
      <c r="C51" s="25"/>
      <c r="D51" s="18"/>
      <c r="E51" s="25"/>
      <c r="F51" s="25"/>
      <c r="G51" s="25"/>
      <c r="H51" s="25"/>
      <c r="I51" s="25"/>
      <c r="J51" s="25"/>
      <c r="K51" s="25"/>
    </row>
    <row r="52" spans="1:11" ht="15.75" customHeight="1">
      <c r="A52" s="16"/>
      <c r="B52" s="18"/>
      <c r="C52" s="25"/>
      <c r="D52" s="18"/>
      <c r="E52" s="25"/>
      <c r="F52" s="25"/>
      <c r="G52" s="25"/>
      <c r="H52" s="25"/>
      <c r="I52" s="25"/>
      <c r="J52" s="25"/>
      <c r="K52" s="25"/>
    </row>
    <row r="53" spans="1:11" ht="15.75" customHeight="1">
      <c r="A53" s="16"/>
      <c r="B53" s="18"/>
      <c r="C53" s="25"/>
      <c r="D53" s="18"/>
      <c r="E53" s="25"/>
      <c r="F53" s="25"/>
      <c r="G53" s="25"/>
      <c r="H53" s="25"/>
      <c r="I53" s="25"/>
      <c r="J53" s="25"/>
      <c r="K53" s="25"/>
    </row>
    <row r="54" spans="1:11" ht="15.75" customHeight="1">
      <c r="A54" s="16"/>
      <c r="B54" s="18"/>
      <c r="C54" s="25"/>
      <c r="D54" s="18"/>
      <c r="E54" s="25"/>
      <c r="F54" s="25"/>
      <c r="G54" s="25"/>
      <c r="H54" s="25"/>
      <c r="I54" s="25"/>
      <c r="J54" s="25"/>
      <c r="K54" s="25"/>
    </row>
    <row r="55" spans="1:11" ht="15.75" customHeight="1">
      <c r="A55" s="16"/>
      <c r="B55" s="18"/>
      <c r="C55" s="25"/>
      <c r="D55" s="18"/>
      <c r="E55" s="25"/>
      <c r="F55" s="25"/>
      <c r="G55" s="25"/>
      <c r="H55" s="25"/>
      <c r="I55" s="25"/>
      <c r="J55" s="25"/>
      <c r="K55" s="25"/>
    </row>
    <row r="56" spans="1:11" ht="15.75" customHeight="1">
      <c r="A56" s="16"/>
      <c r="B56" s="18"/>
      <c r="C56" s="25"/>
      <c r="D56" s="18"/>
      <c r="E56" s="25"/>
      <c r="F56" s="25"/>
      <c r="G56" s="25"/>
      <c r="H56" s="25"/>
      <c r="I56" s="25"/>
      <c r="J56" s="25"/>
      <c r="K56" s="25"/>
    </row>
    <row r="57" spans="1:11" ht="15.75" customHeight="1">
      <c r="A57" s="16"/>
      <c r="B57" s="18"/>
      <c r="C57" s="25"/>
      <c r="D57" s="18"/>
      <c r="E57" s="25"/>
      <c r="F57" s="25"/>
      <c r="G57" s="25"/>
      <c r="H57" s="25"/>
      <c r="I57" s="25"/>
      <c r="J57" s="25"/>
      <c r="K57" s="25"/>
    </row>
    <row r="58" spans="1:11" ht="15.75" customHeight="1">
      <c r="A58" s="16"/>
      <c r="B58" s="18"/>
      <c r="C58" s="25"/>
      <c r="D58" s="18"/>
      <c r="E58" s="25"/>
      <c r="F58" s="25"/>
      <c r="G58" s="25"/>
      <c r="H58" s="25"/>
      <c r="I58" s="25"/>
      <c r="J58" s="25"/>
      <c r="K58" s="25"/>
    </row>
    <row r="59" spans="1:11" ht="15.75" customHeight="1">
      <c r="A59" s="16"/>
      <c r="B59" s="18"/>
      <c r="C59" s="25"/>
      <c r="D59" s="18"/>
      <c r="E59" s="25"/>
      <c r="F59" s="25"/>
      <c r="G59" s="25"/>
      <c r="H59" s="25"/>
      <c r="I59" s="25"/>
      <c r="J59" s="25"/>
      <c r="K59" s="25"/>
    </row>
    <row r="60" spans="1:11" ht="15.75" customHeight="1">
      <c r="A60" s="16"/>
      <c r="B60" s="18"/>
      <c r="C60" s="25"/>
      <c r="D60" s="18"/>
      <c r="E60" s="25"/>
      <c r="F60" s="25"/>
      <c r="G60" s="25"/>
      <c r="H60" s="25"/>
      <c r="I60" s="25"/>
      <c r="J60" s="25"/>
      <c r="K60" s="25"/>
    </row>
    <row r="61" spans="1:11" ht="15.75" customHeight="1">
      <c r="A61" s="16"/>
      <c r="B61" s="18"/>
      <c r="C61" s="25"/>
      <c r="D61" s="18"/>
      <c r="E61" s="25"/>
      <c r="F61" s="25"/>
      <c r="G61" s="25"/>
      <c r="H61" s="25"/>
      <c r="I61" s="25"/>
      <c r="J61" s="25"/>
      <c r="K61" s="25"/>
    </row>
    <row r="62" spans="1:11" ht="15.75" customHeight="1">
      <c r="A62" s="16"/>
      <c r="B62" s="18"/>
      <c r="C62" s="25"/>
      <c r="D62" s="18"/>
      <c r="E62" s="25"/>
      <c r="F62" s="25"/>
      <c r="G62" s="25"/>
      <c r="H62" s="25"/>
      <c r="I62" s="25"/>
      <c r="J62" s="25"/>
      <c r="K62" s="25"/>
    </row>
    <row r="63" spans="1:11" ht="15.75" customHeight="1">
      <c r="A63" s="16"/>
      <c r="B63" s="18"/>
      <c r="C63" s="25"/>
      <c r="D63" s="18"/>
      <c r="E63" s="25"/>
      <c r="F63" s="25"/>
      <c r="G63" s="25"/>
      <c r="H63" s="25"/>
      <c r="I63" s="25"/>
      <c r="J63" s="25"/>
      <c r="K63" s="25"/>
    </row>
    <row r="64" spans="1:11" ht="15.75" customHeight="1">
      <c r="A64" s="16"/>
      <c r="B64" s="18"/>
      <c r="C64" s="25"/>
      <c r="D64" s="18"/>
      <c r="E64" s="25"/>
      <c r="F64" s="25"/>
      <c r="G64" s="25"/>
      <c r="H64" s="25"/>
      <c r="I64" s="25"/>
      <c r="J64" s="25"/>
      <c r="K64" s="25"/>
    </row>
    <row r="65" spans="1:11" ht="15.75" customHeight="1">
      <c r="A65" s="16"/>
      <c r="B65" s="18"/>
      <c r="C65" s="25"/>
      <c r="D65" s="18"/>
      <c r="E65" s="25"/>
      <c r="F65" s="25"/>
      <c r="G65" s="25"/>
      <c r="H65" s="25"/>
      <c r="I65" s="25"/>
      <c r="J65" s="25"/>
      <c r="K65" s="25"/>
    </row>
    <row r="66" spans="1:11" ht="15.75" customHeight="1">
      <c r="A66" s="16"/>
      <c r="B66" s="18"/>
      <c r="C66" s="25"/>
      <c r="D66" s="18"/>
      <c r="E66" s="25"/>
      <c r="F66" s="25"/>
      <c r="G66" s="25"/>
      <c r="H66" s="25"/>
      <c r="I66" s="25"/>
      <c r="J66" s="25"/>
      <c r="K66" s="25"/>
    </row>
    <row r="67" spans="1:11" ht="15.75" customHeight="1">
      <c r="A67" s="16"/>
      <c r="B67" s="18"/>
      <c r="C67" s="25"/>
      <c r="D67" s="18"/>
      <c r="E67" s="25"/>
      <c r="F67" s="25"/>
      <c r="G67" s="25"/>
      <c r="H67" s="25"/>
      <c r="I67" s="25"/>
      <c r="J67" s="25"/>
      <c r="K67" s="25"/>
    </row>
    <row r="68" spans="1:11" ht="15.75" customHeight="1">
      <c r="A68" s="16"/>
      <c r="B68" s="18"/>
      <c r="C68" s="25"/>
      <c r="D68" s="18"/>
      <c r="E68" s="25"/>
      <c r="F68" s="25"/>
      <c r="G68" s="25"/>
      <c r="H68" s="25"/>
      <c r="I68" s="25"/>
      <c r="J68" s="25"/>
      <c r="K68" s="25"/>
    </row>
    <row r="69" spans="1:11" ht="15.75" customHeight="1">
      <c r="A69" s="16"/>
      <c r="B69" s="18"/>
      <c r="C69" s="25"/>
      <c r="D69" s="18"/>
      <c r="E69" s="25"/>
      <c r="F69" s="25"/>
      <c r="G69" s="25"/>
      <c r="H69" s="25"/>
      <c r="I69" s="25"/>
      <c r="J69" s="25"/>
      <c r="K69" s="25"/>
    </row>
    <row r="70" spans="1:11" ht="15.75" customHeight="1">
      <c r="A70" s="16"/>
      <c r="B70" s="18"/>
      <c r="C70" s="25"/>
      <c r="D70" s="18"/>
      <c r="E70" s="25"/>
      <c r="F70" s="25"/>
      <c r="G70" s="25"/>
      <c r="H70" s="25"/>
      <c r="I70" s="25"/>
      <c r="J70" s="25"/>
      <c r="K70" s="25"/>
    </row>
    <row r="71" spans="1:11" ht="15.75" customHeight="1">
      <c r="A71" s="16"/>
      <c r="B71" s="18"/>
      <c r="C71" s="25"/>
      <c r="D71" s="18"/>
      <c r="E71" s="25"/>
      <c r="F71" s="25"/>
      <c r="G71" s="25"/>
      <c r="H71" s="25"/>
      <c r="I71" s="25"/>
      <c r="J71" s="25"/>
      <c r="K71" s="25"/>
    </row>
    <row r="72" spans="1:11" ht="15.75" customHeight="1">
      <c r="A72" s="16"/>
      <c r="B72" s="18"/>
      <c r="C72" s="25"/>
      <c r="D72" s="18"/>
      <c r="E72" s="25"/>
      <c r="F72" s="25"/>
      <c r="G72" s="25"/>
      <c r="H72" s="25"/>
      <c r="I72" s="25"/>
      <c r="J72" s="25"/>
      <c r="K72" s="25"/>
    </row>
    <row r="73" spans="1:11" ht="15.75" customHeight="1">
      <c r="A73" s="16"/>
      <c r="B73" s="18"/>
      <c r="C73" s="25"/>
      <c r="D73" s="18"/>
      <c r="E73" s="25"/>
      <c r="F73" s="25"/>
      <c r="G73" s="25"/>
      <c r="H73" s="25"/>
      <c r="I73" s="25"/>
      <c r="J73" s="25"/>
      <c r="K73" s="25"/>
    </row>
    <row r="74" spans="1:11" ht="15.75" customHeight="1">
      <c r="A74" s="16"/>
      <c r="B74" s="18"/>
      <c r="C74" s="25"/>
      <c r="D74" s="18"/>
      <c r="E74" s="25"/>
      <c r="F74" s="25"/>
      <c r="G74" s="25"/>
      <c r="H74" s="25"/>
      <c r="I74" s="25"/>
      <c r="J74" s="25"/>
      <c r="K74" s="25"/>
    </row>
    <row r="75" spans="1:11" ht="15.75" customHeight="1">
      <c r="A75" s="16"/>
      <c r="B75" s="18"/>
      <c r="C75" s="25"/>
      <c r="D75" s="18"/>
      <c r="E75" s="25"/>
      <c r="F75" s="25"/>
      <c r="G75" s="25"/>
      <c r="H75" s="25"/>
      <c r="I75" s="25"/>
      <c r="J75" s="25"/>
      <c r="K75" s="25"/>
    </row>
    <row r="76" spans="1:11" ht="15.75" customHeight="1">
      <c r="A76" s="16"/>
      <c r="B76" s="18"/>
      <c r="C76" s="25"/>
      <c r="D76" s="18"/>
      <c r="E76" s="25"/>
      <c r="F76" s="25"/>
      <c r="G76" s="25"/>
      <c r="H76" s="25"/>
      <c r="I76" s="25"/>
      <c r="J76" s="25"/>
      <c r="K76" s="25"/>
    </row>
    <row r="77" spans="1:11" ht="15.75" customHeight="1">
      <c r="A77" s="16"/>
      <c r="B77" s="18"/>
      <c r="C77" s="25"/>
      <c r="D77" s="18"/>
      <c r="E77" s="25"/>
      <c r="F77" s="25"/>
      <c r="G77" s="25"/>
      <c r="H77" s="25"/>
      <c r="I77" s="25"/>
      <c r="J77" s="25"/>
      <c r="K77" s="25"/>
    </row>
    <row r="78" spans="1:11" ht="15.75" customHeight="1">
      <c r="A78" s="16"/>
      <c r="B78" s="18"/>
      <c r="C78" s="25"/>
      <c r="D78" s="18"/>
      <c r="E78" s="25"/>
      <c r="F78" s="25"/>
      <c r="G78" s="25"/>
      <c r="H78" s="25"/>
      <c r="I78" s="25"/>
      <c r="J78" s="25"/>
      <c r="K78" s="25"/>
    </row>
    <row r="79" spans="1:11" ht="15.75" customHeight="1">
      <c r="A79" s="16"/>
      <c r="B79" s="18"/>
      <c r="C79" s="25"/>
      <c r="D79" s="18"/>
      <c r="E79" s="25"/>
      <c r="F79" s="25"/>
      <c r="G79" s="25"/>
      <c r="H79" s="25"/>
      <c r="I79" s="25"/>
      <c r="J79" s="25"/>
      <c r="K79" s="25"/>
    </row>
    <row r="80" spans="1:11" ht="15.75" customHeight="1">
      <c r="A80" s="16"/>
      <c r="B80" s="18"/>
      <c r="C80" s="25"/>
      <c r="D80" s="18"/>
      <c r="E80" s="25"/>
      <c r="F80" s="25"/>
      <c r="G80" s="25"/>
      <c r="H80" s="25"/>
      <c r="I80" s="25"/>
      <c r="J80" s="25"/>
      <c r="K80" s="25"/>
    </row>
    <row r="81" spans="1:11" ht="15.75" customHeight="1">
      <c r="A81" s="16"/>
      <c r="B81" s="18"/>
      <c r="C81" s="25"/>
      <c r="D81" s="18"/>
      <c r="E81" s="25"/>
      <c r="F81" s="25"/>
      <c r="G81" s="25"/>
      <c r="H81" s="25"/>
      <c r="I81" s="25"/>
      <c r="J81" s="25"/>
      <c r="K81" s="25"/>
    </row>
    <row r="82" spans="1:11" ht="15.75" customHeight="1">
      <c r="A82" s="16"/>
      <c r="B82" s="18"/>
      <c r="C82" s="25"/>
      <c r="D82" s="18"/>
      <c r="E82" s="25"/>
      <c r="F82" s="25"/>
      <c r="G82" s="25"/>
      <c r="H82" s="25"/>
      <c r="I82" s="25"/>
      <c r="J82" s="25"/>
      <c r="K82" s="25"/>
    </row>
    <row r="83" spans="1:11" ht="15.75" customHeight="1">
      <c r="A83" s="16"/>
      <c r="B83" s="18"/>
      <c r="C83" s="25"/>
      <c r="D83" s="18"/>
      <c r="E83" s="25"/>
      <c r="F83" s="25"/>
      <c r="G83" s="25"/>
      <c r="H83" s="25"/>
      <c r="I83" s="25"/>
      <c r="J83" s="25"/>
      <c r="K83" s="25"/>
    </row>
    <row r="84" spans="1:11" ht="15.75" customHeight="1">
      <c r="A84" s="16"/>
      <c r="B84" s="18"/>
      <c r="C84" s="25"/>
      <c r="D84" s="18"/>
      <c r="E84" s="25"/>
      <c r="F84" s="25"/>
      <c r="G84" s="25"/>
      <c r="H84" s="25"/>
      <c r="I84" s="25"/>
      <c r="J84" s="25"/>
      <c r="K84" s="25"/>
    </row>
    <row r="85" spans="1:11" ht="15.75" customHeight="1">
      <c r="A85" s="16"/>
      <c r="B85" s="18"/>
      <c r="C85" s="25"/>
      <c r="D85" s="18"/>
      <c r="E85" s="25"/>
      <c r="F85" s="25"/>
      <c r="G85" s="25"/>
      <c r="H85" s="25"/>
      <c r="I85" s="25"/>
      <c r="J85" s="25"/>
      <c r="K85" s="25"/>
    </row>
    <row r="86" spans="1:11" ht="15.75" customHeight="1">
      <c r="A86" s="16"/>
      <c r="B86" s="18"/>
      <c r="C86" s="25"/>
      <c r="D86" s="18"/>
      <c r="E86" s="25"/>
      <c r="F86" s="25"/>
      <c r="G86" s="25"/>
      <c r="H86" s="25"/>
      <c r="I86" s="25"/>
      <c r="J86" s="25"/>
      <c r="K86" s="25"/>
    </row>
    <row r="87" spans="1:11" ht="15.75" customHeight="1">
      <c r="A87" s="16"/>
      <c r="B87" s="18"/>
      <c r="C87" s="25"/>
      <c r="D87" s="18"/>
      <c r="E87" s="25"/>
      <c r="F87" s="25"/>
      <c r="G87" s="25"/>
      <c r="H87" s="25"/>
      <c r="I87" s="25"/>
      <c r="J87" s="25"/>
      <c r="K87" s="25"/>
    </row>
    <row r="88" spans="1:11" ht="15.75" customHeight="1">
      <c r="A88" s="16"/>
      <c r="B88" s="18"/>
      <c r="C88" s="25"/>
      <c r="D88" s="18"/>
      <c r="E88" s="25"/>
      <c r="F88" s="25"/>
      <c r="G88" s="25"/>
      <c r="H88" s="25"/>
      <c r="I88" s="25"/>
      <c r="J88" s="25"/>
      <c r="K88" s="25"/>
    </row>
    <row r="89" spans="1:11" ht="15.75" customHeight="1"/>
    <row r="90" spans="1:11" ht="15.75" customHeight="1"/>
    <row r="91" spans="1:11" ht="15.75" customHeight="1"/>
    <row r="92" spans="1:11" ht="15.75" customHeight="1"/>
    <row r="93" spans="1:11" ht="15.75" customHeight="1"/>
    <row r="94" spans="1:11" ht="15.75" customHeight="1"/>
    <row r="95" spans="1:11" ht="15.75" customHeight="1"/>
    <row r="96" spans="1:11" ht="15.75" customHeight="1"/>
    <row r="97" ht="15.75" customHeight="1"/>
    <row r="98" ht="15.75" customHeight="1"/>
    <row r="99" ht="15.75" customHeight="1"/>
    <row r="100" ht="15.75" customHeight="1"/>
    <row r="101" ht="15.75" customHeight="1"/>
    <row r="102" ht="15.75" customHeight="1"/>
  </sheetData>
  <sortState xmlns:xlrd2="http://schemas.microsoft.com/office/spreadsheetml/2017/richdata2" ref="A3:K28">
    <sortCondition ref="C3:C28"/>
  </sortState>
  <mergeCells count="2">
    <mergeCell ref="B36:I36"/>
    <mergeCell ref="J36:O36"/>
  </mergeCells>
  <conditionalFormatting sqref="J38:O45">
    <cfRule type="cellIs" dxfId="5" priority="4" operator="lessThanOrEqual">
      <formula>96.9999999</formula>
    </cfRule>
    <cfRule type="cellIs" dxfId="4" priority="5" operator="between">
      <formula>97</formula>
      <formula>99.9999999</formula>
    </cfRule>
    <cfRule type="cellIs" dxfId="3" priority="7" operator="greaterThanOrEqual">
      <formula>100</formula>
    </cfRule>
  </conditionalFormatting>
  <conditionalFormatting sqref="J37:O37">
    <cfRule type="cellIs" dxfId="2" priority="1" operator="lessThanOrEqual">
      <formula>96.9999999</formula>
    </cfRule>
    <cfRule type="cellIs" dxfId="1" priority="2" operator="between">
      <formula>97</formula>
      <formula>99.9999999</formula>
    </cfRule>
    <cfRule type="cellIs" dxfId="0" priority="3" operator="greaterThanOrEqual">
      <formula>100</formula>
    </cfRule>
  </conditionalFormatting>
  <pageMargins left="0.7" right="0.7" top="0.75" bottom="0.75" header="0" footer="0"/>
  <pageSetup fitToHeight="0" orientation="portrai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José Manuel Jaime Morales Gimnasia Varonil Kids Center</cp:lastModifiedBy>
  <cp:revision/>
  <dcterms:created xsi:type="dcterms:W3CDTF">2024-02-03T21:44:55Z</dcterms:created>
  <dcterms:modified xsi:type="dcterms:W3CDTF">2026-05-19T14:57:13Z</dcterms:modified>
  <cp:category/>
  <cp:contentStatus/>
</cp:coreProperties>
</file>