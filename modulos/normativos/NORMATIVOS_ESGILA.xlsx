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/Desktop/BKA/modulos/normativos/"/>
    </mc:Choice>
  </mc:AlternateContent>
  <xr:revisionPtr revIDLastSave="0" documentId="13_ncr:1_{67EF382E-3269-CB4D-9BAF-5735DD591A3F}" xr6:coauthVersionLast="47" xr6:coauthVersionMax="47" xr10:uidLastSave="{00000000-0000-0000-0000-000000000000}"/>
  <bookViews>
    <workbookView xWindow="0" yWindow="660" windowWidth="23820" windowHeight="18460" xr2:uid="{00000000-000D-0000-FFFF-FFFF00000000}"/>
  </bookViews>
  <sheets>
    <sheet name="NORMATIVOS" sheetId="1" r:id="rId1"/>
    <sheet name="FICHA DEL ATLETA" sheetId="2" r:id="rId2"/>
    <sheet name="INDICADORES" sheetId="3" r:id="rId3"/>
    <sheet name="CONSOLIDADO" sheetId="4" r:id="rId4"/>
    <sheet name="CATALOGOS" sheetId="5" r:id="rId5"/>
  </sheets>
  <definedNames>
    <definedName name="ListaAtletas">NORMATIVOS!$C$1:$N$1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4" l="1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3" i="3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G21" i="2"/>
  <c r="F21" i="2"/>
  <c r="E21" i="2"/>
  <c r="H21" i="2" s="1"/>
  <c r="G20" i="2"/>
  <c r="F20" i="2"/>
  <c r="E20" i="2"/>
  <c r="H20" i="2" s="1"/>
  <c r="G19" i="2"/>
  <c r="F19" i="2"/>
  <c r="E19" i="2"/>
  <c r="H19" i="2" s="1"/>
  <c r="G18" i="2"/>
  <c r="F18" i="2"/>
  <c r="E18" i="2"/>
  <c r="H18" i="2" s="1"/>
  <c r="G17" i="2"/>
  <c r="F17" i="2"/>
  <c r="E17" i="2"/>
  <c r="H17" i="2" s="1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H16" i="2" l="1"/>
  <c r="H15" i="2"/>
  <c r="H14" i="2"/>
  <c r="H13" i="2"/>
  <c r="H12" i="2"/>
  <c r="H11" i="2"/>
  <c r="H10" i="2"/>
  <c r="H9" i="2"/>
  <c r="H8" i="2"/>
  <c r="H7" i="2"/>
  <c r="H6" i="2"/>
  <c r="H71" i="4"/>
  <c r="G71" i="4"/>
  <c r="F71" i="4"/>
  <c r="E71" i="4"/>
  <c r="D71" i="4"/>
  <c r="C71" i="4"/>
  <c r="B71" i="4"/>
  <c r="H38" i="4"/>
  <c r="G38" i="4"/>
  <c r="F38" i="4"/>
  <c r="E38" i="4"/>
  <c r="D38" i="4"/>
  <c r="C38" i="4"/>
  <c r="B38" i="4"/>
  <c r="F5" i="4"/>
  <c r="E5" i="4"/>
  <c r="D5" i="4"/>
  <c r="C5" i="4"/>
  <c r="G5" i="4" s="1"/>
  <c r="H5" i="4" s="1"/>
  <c r="B5" i="4"/>
  <c r="H103" i="4"/>
  <c r="G103" i="4"/>
  <c r="F103" i="4"/>
  <c r="E103" i="4"/>
  <c r="D103" i="4"/>
  <c r="C103" i="4"/>
  <c r="B103" i="4"/>
  <c r="H102" i="4"/>
  <c r="G102" i="4"/>
  <c r="F102" i="4"/>
  <c r="E102" i="4"/>
  <c r="D102" i="4"/>
  <c r="C102" i="4"/>
  <c r="B102" i="4"/>
  <c r="H101" i="4"/>
  <c r="G101" i="4"/>
  <c r="F101" i="4"/>
  <c r="E101" i="4"/>
  <c r="D101" i="4"/>
  <c r="C101" i="4"/>
  <c r="B101" i="4"/>
  <c r="H100" i="4"/>
  <c r="G100" i="4"/>
  <c r="F100" i="4"/>
  <c r="E100" i="4"/>
  <c r="D100" i="4"/>
  <c r="C100" i="4"/>
  <c r="B100" i="4"/>
  <c r="H99" i="4"/>
  <c r="G99" i="4"/>
  <c r="F99" i="4"/>
  <c r="E99" i="4"/>
  <c r="D99" i="4"/>
  <c r="C99" i="4"/>
  <c r="B99" i="4"/>
  <c r="H98" i="4"/>
  <c r="G98" i="4"/>
  <c r="F98" i="4"/>
  <c r="E98" i="4"/>
  <c r="D98" i="4"/>
  <c r="C98" i="4"/>
  <c r="B98" i="4"/>
  <c r="H97" i="4"/>
  <c r="G97" i="4"/>
  <c r="F97" i="4"/>
  <c r="E97" i="4"/>
  <c r="D97" i="4"/>
  <c r="C97" i="4"/>
  <c r="B97" i="4"/>
  <c r="H96" i="4"/>
  <c r="G96" i="4"/>
  <c r="F96" i="4"/>
  <c r="E96" i="4"/>
  <c r="D96" i="4"/>
  <c r="C96" i="4"/>
  <c r="B96" i="4"/>
  <c r="H95" i="4"/>
  <c r="G95" i="4"/>
  <c r="F95" i="4"/>
  <c r="E95" i="4"/>
  <c r="D95" i="4"/>
  <c r="C95" i="4"/>
  <c r="B95" i="4"/>
  <c r="H94" i="4"/>
  <c r="G94" i="4"/>
  <c r="F94" i="4"/>
  <c r="E94" i="4"/>
  <c r="D94" i="4"/>
  <c r="C94" i="4"/>
  <c r="B94" i="4"/>
  <c r="H93" i="4"/>
  <c r="G93" i="4"/>
  <c r="F93" i="4"/>
  <c r="E93" i="4"/>
  <c r="D93" i="4"/>
  <c r="C93" i="4"/>
  <c r="B93" i="4"/>
  <c r="H92" i="4"/>
  <c r="G92" i="4"/>
  <c r="F92" i="4"/>
  <c r="E92" i="4"/>
  <c r="D92" i="4"/>
  <c r="C92" i="4"/>
  <c r="B92" i="4"/>
  <c r="H91" i="4"/>
  <c r="G91" i="4"/>
  <c r="F91" i="4"/>
  <c r="E91" i="4"/>
  <c r="D91" i="4"/>
  <c r="C91" i="4"/>
  <c r="B91" i="4"/>
  <c r="H90" i="4"/>
  <c r="G90" i="4"/>
  <c r="F90" i="4"/>
  <c r="E90" i="4"/>
  <c r="D90" i="4"/>
  <c r="C90" i="4"/>
  <c r="B90" i="4"/>
  <c r="H89" i="4"/>
  <c r="G89" i="4"/>
  <c r="F89" i="4"/>
  <c r="E89" i="4"/>
  <c r="D89" i="4"/>
  <c r="C89" i="4"/>
  <c r="B89" i="4"/>
  <c r="H88" i="4"/>
  <c r="G88" i="4"/>
  <c r="F88" i="4"/>
  <c r="E88" i="4"/>
  <c r="D88" i="4"/>
  <c r="C88" i="4"/>
  <c r="B88" i="4"/>
  <c r="H87" i="4"/>
  <c r="G87" i="4"/>
  <c r="F87" i="4"/>
  <c r="E87" i="4"/>
  <c r="D87" i="4"/>
  <c r="C87" i="4"/>
  <c r="B87" i="4"/>
  <c r="H86" i="4"/>
  <c r="G86" i="4"/>
  <c r="F86" i="4"/>
  <c r="E86" i="4"/>
  <c r="D86" i="4"/>
  <c r="C86" i="4"/>
  <c r="B86" i="4"/>
  <c r="H85" i="4"/>
  <c r="G85" i="4"/>
  <c r="F85" i="4"/>
  <c r="E85" i="4"/>
  <c r="D85" i="4"/>
  <c r="C85" i="4"/>
  <c r="B85" i="4"/>
  <c r="H84" i="4"/>
  <c r="G84" i="4"/>
  <c r="F84" i="4"/>
  <c r="E84" i="4"/>
  <c r="D84" i="4"/>
  <c r="C84" i="4"/>
  <c r="B84" i="4"/>
  <c r="H83" i="4"/>
  <c r="G83" i="4"/>
  <c r="F83" i="4"/>
  <c r="E83" i="4"/>
  <c r="D83" i="4"/>
  <c r="C83" i="4"/>
  <c r="B83" i="4"/>
  <c r="H82" i="4"/>
  <c r="G82" i="4"/>
  <c r="F82" i="4"/>
  <c r="E82" i="4"/>
  <c r="D82" i="4"/>
  <c r="C82" i="4"/>
  <c r="B82" i="4"/>
  <c r="G81" i="4"/>
  <c r="H81" i="4"/>
  <c r="F81" i="4"/>
  <c r="E81" i="4"/>
  <c r="D81" i="4"/>
  <c r="C81" i="4"/>
  <c r="B81" i="4"/>
  <c r="H80" i="4"/>
  <c r="G80" i="4"/>
  <c r="F80" i="4"/>
  <c r="E80" i="4"/>
  <c r="D80" i="4"/>
  <c r="C80" i="4"/>
  <c r="B80" i="4"/>
  <c r="H79" i="4"/>
  <c r="G79" i="4"/>
  <c r="F79" i="4"/>
  <c r="E79" i="4"/>
  <c r="D79" i="4"/>
  <c r="C79" i="4"/>
  <c r="B79" i="4"/>
  <c r="H78" i="4"/>
  <c r="G78" i="4"/>
  <c r="F78" i="4"/>
  <c r="E78" i="4"/>
  <c r="D78" i="4"/>
  <c r="C78" i="4"/>
  <c r="B78" i="4"/>
  <c r="H77" i="4"/>
  <c r="G77" i="4"/>
  <c r="F77" i="4"/>
  <c r="E77" i="4"/>
  <c r="D77" i="4"/>
  <c r="C77" i="4"/>
  <c r="B77" i="4"/>
  <c r="H76" i="4"/>
  <c r="G76" i="4"/>
  <c r="F76" i="4"/>
  <c r="E76" i="4"/>
  <c r="D76" i="4"/>
  <c r="C76" i="4"/>
  <c r="B76" i="4"/>
  <c r="H75" i="4"/>
  <c r="G75" i="4"/>
  <c r="F75" i="4"/>
  <c r="E75" i="4"/>
  <c r="D75" i="4"/>
  <c r="C75" i="4"/>
  <c r="B75" i="4"/>
  <c r="H74" i="4"/>
  <c r="G74" i="4"/>
  <c r="F74" i="4"/>
  <c r="E74" i="4"/>
  <c r="D74" i="4"/>
  <c r="C74" i="4"/>
  <c r="B74" i="4"/>
  <c r="H73" i="4"/>
  <c r="G73" i="4"/>
  <c r="F73" i="4"/>
  <c r="E73" i="4"/>
  <c r="D73" i="4"/>
  <c r="C73" i="4"/>
  <c r="B73" i="4"/>
  <c r="H72" i="4"/>
  <c r="G72" i="4"/>
  <c r="F72" i="4"/>
  <c r="E72" i="4"/>
  <c r="D72" i="4"/>
  <c r="C72" i="4"/>
  <c r="B72" i="4"/>
  <c r="C70" i="4"/>
  <c r="D70" i="4"/>
  <c r="E70" i="4"/>
  <c r="F70" i="4"/>
  <c r="G70" i="4"/>
  <c r="H70" i="4"/>
  <c r="B70" i="4"/>
  <c r="H69" i="4"/>
  <c r="G69" i="4"/>
  <c r="F69" i="4"/>
  <c r="E69" i="4"/>
  <c r="D69" i="4"/>
  <c r="C69" i="4"/>
  <c r="B69" i="4"/>
  <c r="H68" i="4"/>
  <c r="G68" i="4"/>
  <c r="F68" i="4"/>
  <c r="E68" i="4"/>
  <c r="D68" i="4"/>
  <c r="C68" i="4"/>
  <c r="B68" i="4"/>
  <c r="H67" i="4"/>
  <c r="G67" i="4"/>
  <c r="F67" i="4"/>
  <c r="E67" i="4"/>
  <c r="D67" i="4"/>
  <c r="C67" i="4"/>
  <c r="B67" i="4"/>
  <c r="H66" i="4"/>
  <c r="G66" i="4"/>
  <c r="F66" i="4"/>
  <c r="E66" i="4"/>
  <c r="D66" i="4"/>
  <c r="C66" i="4"/>
  <c r="B66" i="4"/>
  <c r="H65" i="4"/>
  <c r="G65" i="4"/>
  <c r="F65" i="4"/>
  <c r="E65" i="4"/>
  <c r="D65" i="4"/>
  <c r="C65" i="4"/>
  <c r="B65" i="4"/>
  <c r="D64" i="4"/>
  <c r="B64" i="4"/>
  <c r="G64" i="4"/>
  <c r="H64" i="4"/>
  <c r="E64" i="4"/>
  <c r="C64" i="4"/>
  <c r="F64" i="4"/>
  <c r="H63" i="4"/>
  <c r="G63" i="4"/>
  <c r="F63" i="4"/>
  <c r="E63" i="4"/>
  <c r="D63" i="4"/>
  <c r="C63" i="4"/>
  <c r="B63" i="4"/>
  <c r="H62" i="4"/>
  <c r="G62" i="4"/>
  <c r="F62" i="4"/>
  <c r="E62" i="4"/>
  <c r="D62" i="4"/>
  <c r="C62" i="4"/>
  <c r="B62" i="4"/>
  <c r="C61" i="4"/>
  <c r="B61" i="4"/>
  <c r="D61" i="4"/>
  <c r="E61" i="4"/>
  <c r="F61" i="4"/>
  <c r="G61" i="4"/>
  <c r="H61" i="4"/>
  <c r="H60" i="4"/>
  <c r="G60" i="4"/>
  <c r="F60" i="4"/>
  <c r="E60" i="4"/>
  <c r="D60" i="4"/>
  <c r="C60" i="4"/>
  <c r="B60" i="4"/>
  <c r="F59" i="4"/>
  <c r="E59" i="4"/>
  <c r="D59" i="4"/>
  <c r="C59" i="4"/>
  <c r="B59" i="4"/>
  <c r="G59" i="4"/>
  <c r="H59" i="4"/>
  <c r="E58" i="4"/>
  <c r="H58" i="4"/>
  <c r="B58" i="4"/>
  <c r="C58" i="4"/>
  <c r="D58" i="4"/>
  <c r="F58" i="4"/>
  <c r="G58" i="4"/>
  <c r="D57" i="4"/>
  <c r="C57" i="4"/>
  <c r="E57" i="4"/>
  <c r="F57" i="4"/>
  <c r="G57" i="4"/>
  <c r="H57" i="4"/>
  <c r="B57" i="4"/>
  <c r="H56" i="4"/>
  <c r="G56" i="4"/>
  <c r="F56" i="4"/>
  <c r="E56" i="4"/>
  <c r="D56" i="4"/>
  <c r="C56" i="4"/>
  <c r="B56" i="4"/>
  <c r="D55" i="4"/>
  <c r="B55" i="4"/>
  <c r="C55" i="4"/>
  <c r="E55" i="4"/>
  <c r="F55" i="4"/>
  <c r="G55" i="4"/>
  <c r="H55" i="4"/>
  <c r="H54" i="4"/>
  <c r="F54" i="4"/>
  <c r="D54" i="4"/>
  <c r="C54" i="4"/>
  <c r="B54" i="4"/>
  <c r="G54" i="4"/>
  <c r="E54" i="4"/>
  <c r="F53" i="4"/>
  <c r="E53" i="4"/>
  <c r="D53" i="4"/>
  <c r="G53" i="4"/>
  <c r="H53" i="4"/>
  <c r="C53" i="4"/>
  <c r="B53" i="4"/>
  <c r="E52" i="4"/>
  <c r="D52" i="4"/>
  <c r="C52" i="4"/>
  <c r="B52" i="4"/>
  <c r="H52" i="4"/>
  <c r="G52" i="4"/>
  <c r="F52" i="4"/>
  <c r="C51" i="4"/>
  <c r="B51" i="4"/>
  <c r="E51" i="4"/>
  <c r="F51" i="4"/>
  <c r="G51" i="4"/>
  <c r="H51" i="4"/>
  <c r="D51" i="4"/>
  <c r="G50" i="4"/>
  <c r="B50" i="4"/>
  <c r="F50" i="4"/>
  <c r="E50" i="4"/>
  <c r="D50" i="4"/>
  <c r="H50" i="4"/>
  <c r="C50" i="4"/>
  <c r="F49" i="4"/>
  <c r="E49" i="4"/>
  <c r="D49" i="4"/>
  <c r="C49" i="4"/>
  <c r="B49" i="4"/>
  <c r="H49" i="4"/>
  <c r="G49" i="4"/>
  <c r="C48" i="4"/>
  <c r="B48" i="4"/>
  <c r="D48" i="4"/>
  <c r="E48" i="4"/>
  <c r="F48" i="4"/>
  <c r="G48" i="4"/>
  <c r="H48" i="4"/>
  <c r="H47" i="4"/>
  <c r="G47" i="4"/>
  <c r="E47" i="4"/>
  <c r="D47" i="4"/>
  <c r="C47" i="4"/>
  <c r="B47" i="4"/>
  <c r="F47" i="4"/>
  <c r="H46" i="4"/>
  <c r="G46" i="4"/>
  <c r="F46" i="4"/>
  <c r="E46" i="4"/>
  <c r="D46" i="4"/>
  <c r="C46" i="4"/>
  <c r="B46" i="4"/>
  <c r="C45" i="4"/>
  <c r="F45" i="4"/>
  <c r="E45" i="4"/>
  <c r="B45" i="4"/>
  <c r="G45" i="4"/>
  <c r="H45" i="4"/>
  <c r="D45" i="4"/>
  <c r="F44" i="4"/>
  <c r="C44" i="4"/>
  <c r="D44" i="4"/>
  <c r="B44" i="4"/>
  <c r="H44" i="4"/>
  <c r="G44" i="4"/>
  <c r="E44" i="4"/>
  <c r="H43" i="4"/>
  <c r="G43" i="4"/>
  <c r="F43" i="4"/>
  <c r="E43" i="4"/>
  <c r="D43" i="4"/>
  <c r="C43" i="4"/>
  <c r="B43" i="4"/>
  <c r="C42" i="4"/>
  <c r="B42" i="4"/>
  <c r="D42" i="4"/>
  <c r="E42" i="4"/>
  <c r="F42" i="4"/>
  <c r="G42" i="4"/>
  <c r="H42" i="4"/>
  <c r="H41" i="4"/>
  <c r="F41" i="4"/>
  <c r="E41" i="4"/>
  <c r="D41" i="4"/>
  <c r="C41" i="4"/>
  <c r="B41" i="4"/>
  <c r="G41" i="4"/>
  <c r="H40" i="4"/>
  <c r="G40" i="4"/>
  <c r="F40" i="4"/>
  <c r="E40" i="4"/>
  <c r="D40" i="4"/>
  <c r="C40" i="4"/>
  <c r="B40" i="4"/>
  <c r="B39" i="4"/>
  <c r="H39" i="4"/>
  <c r="E39" i="4"/>
  <c r="C39" i="4"/>
  <c r="G39" i="4"/>
  <c r="F39" i="4"/>
  <c r="D39" i="4"/>
  <c r="B37" i="4"/>
  <c r="C37" i="4"/>
  <c r="D37" i="4"/>
  <c r="E37" i="4"/>
  <c r="F37" i="4"/>
  <c r="G37" i="4"/>
  <c r="H37" i="4"/>
  <c r="G36" i="4"/>
  <c r="H36" i="4"/>
  <c r="B36" i="4"/>
  <c r="C36" i="4"/>
  <c r="D36" i="4"/>
  <c r="E36" i="4"/>
  <c r="F36" i="4"/>
  <c r="E35" i="4"/>
  <c r="D35" i="4"/>
  <c r="C35" i="4"/>
  <c r="G35" i="4"/>
  <c r="B35" i="4"/>
  <c r="H35" i="4"/>
  <c r="F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E31" i="4"/>
  <c r="F31" i="4"/>
  <c r="G31" i="4"/>
  <c r="H31" i="4"/>
  <c r="D31" i="4"/>
  <c r="C31" i="4"/>
  <c r="B31" i="4"/>
  <c r="H30" i="4"/>
  <c r="G30" i="4"/>
  <c r="F30" i="4"/>
  <c r="E30" i="4"/>
  <c r="D30" i="4"/>
  <c r="C30" i="4"/>
  <c r="B30" i="4"/>
  <c r="D29" i="4"/>
  <c r="G29" i="4"/>
  <c r="F29" i="4"/>
  <c r="E29" i="4"/>
  <c r="H29" i="4"/>
  <c r="C29" i="4"/>
  <c r="B29" i="4"/>
  <c r="H28" i="4"/>
  <c r="G28" i="4"/>
  <c r="F28" i="4"/>
  <c r="E28" i="4"/>
  <c r="D28" i="4"/>
  <c r="C28" i="4"/>
  <c r="B28" i="4"/>
  <c r="E27" i="4"/>
  <c r="D27" i="4"/>
  <c r="C27" i="4"/>
  <c r="B27" i="4"/>
  <c r="H27" i="4"/>
  <c r="G27" i="4"/>
  <c r="F27" i="4"/>
  <c r="E26" i="4"/>
  <c r="F26" i="4"/>
  <c r="H26" i="4"/>
  <c r="G26" i="4"/>
  <c r="D26" i="4"/>
  <c r="C26" i="4"/>
  <c r="B26" i="4"/>
  <c r="H25" i="4"/>
  <c r="G25" i="4"/>
  <c r="F25" i="4"/>
  <c r="E25" i="4"/>
  <c r="D25" i="4"/>
  <c r="C25" i="4"/>
  <c r="B25" i="4"/>
  <c r="G24" i="4"/>
  <c r="B24" i="4"/>
  <c r="C24" i="4"/>
  <c r="D24" i="4"/>
  <c r="E24" i="4"/>
  <c r="F24" i="4"/>
  <c r="H24" i="4"/>
  <c r="C23" i="4"/>
  <c r="H23" i="4"/>
  <c r="G23" i="4"/>
  <c r="F23" i="4"/>
  <c r="E23" i="4"/>
  <c r="D23" i="4"/>
  <c r="B23" i="4"/>
  <c r="G22" i="4"/>
  <c r="D22" i="4"/>
  <c r="E22" i="4"/>
  <c r="F22" i="4"/>
  <c r="B22" i="4"/>
  <c r="C22" i="4"/>
  <c r="H22" i="4"/>
  <c r="B21" i="4"/>
  <c r="H21" i="4"/>
  <c r="D21" i="4"/>
  <c r="G21" i="4"/>
  <c r="C21" i="4"/>
  <c r="E21" i="4"/>
  <c r="F21" i="4"/>
  <c r="H20" i="4"/>
  <c r="G20" i="4"/>
  <c r="F20" i="4"/>
  <c r="E20" i="4"/>
  <c r="D20" i="4"/>
  <c r="C20" i="4"/>
  <c r="B20" i="4"/>
  <c r="D19" i="4"/>
  <c r="E19" i="4"/>
  <c r="F19" i="4"/>
  <c r="G19" i="4"/>
  <c r="H19" i="4"/>
  <c r="C19" i="4"/>
  <c r="B19" i="4"/>
  <c r="H18" i="4"/>
  <c r="G18" i="4"/>
  <c r="F18" i="4"/>
  <c r="E18" i="4"/>
  <c r="C18" i="4"/>
  <c r="B18" i="4"/>
  <c r="D18" i="4"/>
  <c r="D17" i="4"/>
  <c r="G17" i="4"/>
  <c r="B17" i="4"/>
  <c r="H17" i="4"/>
  <c r="C17" i="4"/>
  <c r="F17" i="4"/>
  <c r="E17" i="4"/>
  <c r="C16" i="4"/>
  <c r="E16" i="4"/>
  <c r="H16" i="4"/>
  <c r="G16" i="4"/>
  <c r="B16" i="4"/>
  <c r="F16" i="4"/>
  <c r="D16" i="4"/>
  <c r="B15" i="4"/>
  <c r="E15" i="4"/>
  <c r="F15" i="4"/>
  <c r="H15" i="4"/>
  <c r="G15" i="4"/>
  <c r="D15" i="4"/>
  <c r="C15" i="4"/>
  <c r="C14" i="4"/>
  <c r="E14" i="4"/>
  <c r="F14" i="4"/>
  <c r="G14" i="4"/>
  <c r="H14" i="4"/>
  <c r="B14" i="4"/>
  <c r="D14" i="4"/>
  <c r="G13" i="4"/>
  <c r="F13" i="4"/>
  <c r="E13" i="4"/>
  <c r="D13" i="4"/>
  <c r="H13" i="4"/>
  <c r="C13" i="4"/>
  <c r="B13" i="4"/>
  <c r="H12" i="4"/>
  <c r="E12" i="4"/>
  <c r="C12" i="4"/>
  <c r="B12" i="4"/>
  <c r="G12" i="4"/>
  <c r="F12" i="4"/>
  <c r="D12" i="4"/>
  <c r="H11" i="4"/>
  <c r="G11" i="4"/>
  <c r="F11" i="4"/>
  <c r="E11" i="4"/>
  <c r="D11" i="4"/>
  <c r="B11" i="4"/>
  <c r="C11" i="4"/>
  <c r="B10" i="4"/>
  <c r="C10" i="4"/>
  <c r="F10" i="4"/>
  <c r="D10" i="4"/>
  <c r="E10" i="4"/>
  <c r="H10" i="4"/>
  <c r="G10" i="4"/>
  <c r="F9" i="4"/>
  <c r="E9" i="4"/>
  <c r="D9" i="4"/>
  <c r="C9" i="4"/>
  <c r="B9" i="4"/>
  <c r="D8" i="4"/>
  <c r="C8" i="4"/>
  <c r="B8" i="4"/>
  <c r="F8" i="4"/>
  <c r="E8" i="4"/>
  <c r="F7" i="4"/>
  <c r="E7" i="4"/>
  <c r="D7" i="4"/>
  <c r="C7" i="4"/>
  <c r="G7" i="4" s="1"/>
  <c r="H7" i="4" s="1"/>
  <c r="B7" i="4"/>
  <c r="C6" i="4"/>
  <c r="E6" i="4"/>
  <c r="F6" i="4"/>
  <c r="D6" i="4"/>
  <c r="B6" i="4"/>
  <c r="F4" i="4"/>
  <c r="D4" i="4"/>
  <c r="C4" i="4"/>
  <c r="B4" i="4"/>
  <c r="B6" i="2" s="1"/>
  <c r="E4" i="4"/>
  <c r="G4" i="4" l="1"/>
  <c r="G9" i="4"/>
  <c r="H9" i="4" s="1"/>
  <c r="G6" i="4"/>
  <c r="H6" i="4" s="1"/>
  <c r="G8" i="4"/>
  <c r="H8" i="4" s="1"/>
  <c r="B10" i="2"/>
  <c r="E4" i="3"/>
  <c r="B6" i="3"/>
  <c r="E6" i="3"/>
  <c r="B8" i="2"/>
  <c r="B7" i="2"/>
  <c r="B5" i="3"/>
  <c r="E7" i="3"/>
  <c r="B9" i="2"/>
  <c r="E5" i="3"/>
  <c r="H4" i="4" l="1"/>
  <c r="B11" i="2"/>
  <c r="B4" i="3"/>
</calcChain>
</file>

<file path=xl/sharedStrings.xml><?xml version="1.0" encoding="utf-8"?>
<sst xmlns="http://schemas.openxmlformats.org/spreadsheetml/2006/main" count="4229" uniqueCount="352">
  <si>
    <t>FICHA INDIVIDUAL DE EVALUACIÓN</t>
  </si>
  <si>
    <t>Atleta:</t>
  </si>
  <si>
    <t>Renato Garcia</t>
  </si>
  <si>
    <t>RESUMEN</t>
  </si>
  <si>
    <t>Aparato</t>
  </si>
  <si>
    <t>Consolidado</t>
  </si>
  <si>
    <t>En proceso</t>
  </si>
  <si>
    <t>Proyección</t>
  </si>
  <si>
    <t>% dominio</t>
  </si>
  <si>
    <t>Elementos evaluados</t>
  </si>
  <si>
    <t>POSICIONES BÁSICAS Y FUERZA</t>
  </si>
  <si>
    <t>Consolidados</t>
  </si>
  <si>
    <t>ACROBATICO HACÍA DELANTE</t>
  </si>
  <si>
    <t>ACROBATICO HACÍA ATRÁS</t>
  </si>
  <si>
    <t>ACROBATICO CON GIRO</t>
  </si>
  <si>
    <t>N/A</t>
  </si>
  <si>
    <t>HONGO</t>
  </si>
  <si>
    <t>CABALLO SIN ARZON</t>
  </si>
  <si>
    <t>CABALLO CON ARZONES</t>
  </si>
  <si>
    <t>ELEMENTOS DE FUERZA</t>
  </si>
  <si>
    <t>ELEMENTOS DE VUELO</t>
  </si>
  <si>
    <t>ACCIONES SIN TABLA DE SALTO</t>
  </si>
  <si>
    <t>SALTOS</t>
  </si>
  <si>
    <t>ELEMENTOS EN SUSPENSION</t>
  </si>
  <si>
    <t>ELEMENTOS EN APOYO</t>
  </si>
  <si>
    <t>ELEMENTOS EN APOYO BRAQUIAL</t>
  </si>
  <si>
    <t>ELEMENTOS DE VUELO Y SOLTADAS</t>
  </si>
  <si>
    <t>ACERCAMIENTO A LA BARRA</t>
  </si>
  <si>
    <t>DETALLE DE ELEMENTOS</t>
  </si>
  <si>
    <t>Elemento</t>
  </si>
  <si>
    <t>Estado</t>
  </si>
  <si>
    <t>Postura de pie firme</t>
  </si>
  <si>
    <t>Parado de hombros</t>
  </si>
  <si>
    <t>Parado de antebrazos</t>
  </si>
  <si>
    <t>Parado de cabeza</t>
  </si>
  <si>
    <t>Parado de manos en apoyo</t>
  </si>
  <si>
    <t>Parado de Manos</t>
  </si>
  <si>
    <t>Split</t>
  </si>
  <si>
    <t>Squat</t>
  </si>
  <si>
    <t>Equilibrio a un pie (arabesca)</t>
  </si>
  <si>
    <t>L sit</t>
  </si>
  <si>
    <t>Sustentación en Arco</t>
  </si>
  <si>
    <t>Soporte en escuadra endo</t>
  </si>
  <si>
    <t>Kato de fuerza</t>
  </si>
  <si>
    <t>Rodada Kato</t>
  </si>
  <si>
    <t>Rodada adelanté</t>
  </si>
  <si>
    <t>Vuelta de carro</t>
  </si>
  <si>
    <t>Redondilla</t>
  </si>
  <si>
    <t>Resorte a 2 pies</t>
  </si>
  <si>
    <t>Resorte a 1 pie</t>
  </si>
  <si>
    <t>Mortal adelante en C</t>
  </si>
  <si>
    <t>Resorte 1 a 2</t>
  </si>
  <si>
    <t>Mortal adelante en V</t>
  </si>
  <si>
    <t>Mortal extendido</t>
  </si>
  <si>
    <t>Mortal rebote mortal</t>
  </si>
  <si>
    <t>Doble mortal en C adelanté</t>
  </si>
  <si>
    <t>Rodada atras</t>
  </si>
  <si>
    <t>Rodada atrás a parado de manos</t>
  </si>
  <si>
    <t>Flic flac</t>
  </si>
  <si>
    <t>Doble flic</t>
  </si>
  <si>
    <t>Mortal atras en C desde Redondilla</t>
  </si>
  <si>
    <t>Mortal atras en C desde Flic flac</t>
  </si>
  <si>
    <t>Mortal en V atras</t>
  </si>
  <si>
    <t>Mortal extendido atras</t>
  </si>
  <si>
    <t>Power flic (Tempo)</t>
  </si>
  <si>
    <t>Doble mortal atrás en C</t>
  </si>
  <si>
    <t>Mortal extendido atras con 1/2 giro</t>
  </si>
  <si>
    <t>Mortal extendido atras con un giro</t>
  </si>
  <si>
    <t>Mortal agrupado adelanté con 1/2 giro</t>
  </si>
  <si>
    <t>Mortal agrupado adelanté con 1 giro</t>
  </si>
  <si>
    <t>Varani</t>
  </si>
  <si>
    <t>Mortal extendido adelanté con 1 giro</t>
  </si>
  <si>
    <t>Mortal extendido atras con 1 1/2 giro</t>
  </si>
  <si>
    <t>Mortal extendido atrás con 2 giros</t>
  </si>
  <si>
    <t>Mortal extendido adelante con 1 1/2 giro</t>
  </si>
  <si>
    <t>Posturas básicas de apoyo e impulso</t>
  </si>
  <si>
    <t>1/4 de circulo</t>
  </si>
  <si>
    <t>1/2 de circulo</t>
  </si>
  <si>
    <t>3/4 de circulo</t>
  </si>
  <si>
    <t>1 circulo</t>
  </si>
  <si>
    <t>2 circulos</t>
  </si>
  <si>
    <t>3 circulos</t>
  </si>
  <si>
    <t>4 circulos</t>
  </si>
  <si>
    <t>5 circulos</t>
  </si>
  <si>
    <t>Salida finlandesa</t>
  </si>
  <si>
    <t>Splindle</t>
  </si>
  <si>
    <t>Thomas Flair</t>
  </si>
  <si>
    <t>Cheka</t>
  </si>
  <si>
    <t>Stöckli</t>
  </si>
  <si>
    <t>Splindle con thomas</t>
  </si>
  <si>
    <t>Rusa</t>
  </si>
  <si>
    <t>1/2 Circulo</t>
  </si>
  <si>
    <t>Circulo</t>
  </si>
  <si>
    <t>1/4 de Kehr</t>
  </si>
  <si>
    <t>1/2 Splindle</t>
  </si>
  <si>
    <t>1/2 Magyar</t>
  </si>
  <si>
    <t>1/2 Sivado</t>
  </si>
  <si>
    <t>Doble rusa</t>
  </si>
  <si>
    <t>Magyar</t>
  </si>
  <si>
    <t>Sivado</t>
  </si>
  <si>
    <t>Balanceo pendular</t>
  </si>
  <si>
    <t>Tijera falsa</t>
  </si>
  <si>
    <t>Tijera</t>
  </si>
  <si>
    <t>Circulo sobre arzones</t>
  </si>
  <si>
    <t>Tijera circulo</t>
  </si>
  <si>
    <t>Bajada lateral</t>
  </si>
  <si>
    <t>Circulo en grupa</t>
  </si>
  <si>
    <t>Circulo lateral en grupa</t>
  </si>
  <si>
    <t>Circulo frontal en grupa</t>
  </si>
  <si>
    <t>1/4 de Kehr en grupa</t>
  </si>
  <si>
    <t>1/2 Splindle en grupa</t>
  </si>
  <si>
    <t>Cheka sobre arzones</t>
  </si>
  <si>
    <t>Stöckli sobre arzones</t>
  </si>
  <si>
    <t>Rusa en grupa</t>
  </si>
  <si>
    <t>Doble rusa en grupa</t>
  </si>
  <si>
    <t>Circulo sobre un arzon</t>
  </si>
  <si>
    <t>Roth</t>
  </si>
  <si>
    <t>Salida Kolyvanov</t>
  </si>
  <si>
    <t>Tongfei</t>
  </si>
  <si>
    <t>Splindle en grupa (Magyar)</t>
  </si>
  <si>
    <t>Wugonian</t>
  </si>
  <si>
    <t>Sohn</t>
  </si>
  <si>
    <t>Bezugo</t>
  </si>
  <si>
    <t>L sit en suspension</t>
  </si>
  <si>
    <t>Dominada</t>
  </si>
  <si>
    <t>Vela</t>
  </si>
  <si>
    <t>Plancha dorsal</t>
  </si>
  <si>
    <t>Hercules</t>
  </si>
  <si>
    <t>L sit en apoyo</t>
  </si>
  <si>
    <t>Plancha agrupada</t>
  </si>
  <si>
    <t>L sit a Parado de manos (Kato)</t>
  </si>
  <si>
    <t>Semidisloque desde suspension estática</t>
  </si>
  <si>
    <t>Escuadra abierta</t>
  </si>
  <si>
    <t>Plancha abierta (Pajaro)</t>
  </si>
  <si>
    <t>Cristo</t>
  </si>
  <si>
    <t>Plancha cerrada</t>
  </si>
  <si>
    <t>Hirondell (Maltesse)</t>
  </si>
  <si>
    <t>Balanceos a 45°</t>
  </si>
  <si>
    <t>Balanceos a la horizontal</t>
  </si>
  <si>
    <t>Balanceos por encima de la horizontal</t>
  </si>
  <si>
    <t>Inglesa a L sit</t>
  </si>
  <si>
    <t>Inlocada</t>
  </si>
  <si>
    <t>Semidisloque desde sandwich</t>
  </si>
  <si>
    <t>Dislocada</t>
  </si>
  <si>
    <t>Salida de mortal extendido atrás</t>
  </si>
  <si>
    <t>Azteca</t>
  </si>
  <si>
    <t>Kip L sit</t>
  </si>
  <si>
    <t>Subida de pecho</t>
  </si>
  <si>
    <t>Salida de mortal agrupado hacia adelante</t>
  </si>
  <si>
    <t>Salida de doble mortal agrupado hacía atrás</t>
  </si>
  <si>
    <t>Molino</t>
  </si>
  <si>
    <t>Gigante</t>
  </si>
  <si>
    <t>Deltchev</t>
  </si>
  <si>
    <t>Honma</t>
  </si>
  <si>
    <t>Salida de multiple mortal</t>
  </si>
  <si>
    <t>Yamawaki</t>
  </si>
  <si>
    <t>Jonasson</t>
  </si>
  <si>
    <t>Carrera</t>
  </si>
  <si>
    <t>Entrada a botador</t>
  </si>
  <si>
    <t>Salto Vertical</t>
  </si>
  <si>
    <t>Salto del tigre</t>
  </si>
  <si>
    <t>Salto mortal agrupado</t>
  </si>
  <si>
    <t>Resorte a caer en placha con altura</t>
  </si>
  <si>
    <t>Resorte a altura</t>
  </si>
  <si>
    <t>Resorte de brazos</t>
  </si>
  <si>
    <t>Yamashita</t>
  </si>
  <si>
    <t>Tsukahara agrupada</t>
  </si>
  <si>
    <t>Resorte mortal agrupado</t>
  </si>
  <si>
    <t>Tsukahara carpada</t>
  </si>
  <si>
    <t>Tsukahara extendida</t>
  </si>
  <si>
    <t>Tsukahara con medio giro</t>
  </si>
  <si>
    <t>Entrada de kasa a mortal agrup adelanté</t>
  </si>
  <si>
    <t>Kasamatsu</t>
  </si>
  <si>
    <t>Kasamatsu extendido</t>
  </si>
  <si>
    <t>Resorte mortal carpado</t>
  </si>
  <si>
    <t>Cuervo</t>
  </si>
  <si>
    <t>Tsukahara con giro y medio</t>
  </si>
  <si>
    <t>Akopian</t>
  </si>
  <si>
    <t>Yourchenko</t>
  </si>
  <si>
    <t>Yourchenko extendido</t>
  </si>
  <si>
    <t>Yourchenko con 1/2 giro</t>
  </si>
  <si>
    <t>Yourchenko con 1 giro</t>
  </si>
  <si>
    <t>Driggs</t>
  </si>
  <si>
    <t>Resorte mortal extendido con giro</t>
  </si>
  <si>
    <t>Roche</t>
  </si>
  <si>
    <t>Vuelos a 45°</t>
  </si>
  <si>
    <t>Vuelos a la horizontal</t>
  </si>
  <si>
    <t>Vuelos por encima de la paralela</t>
  </si>
  <si>
    <t>Vuelo a soporte braquial</t>
  </si>
  <si>
    <t>Alemana a L sit (kip)</t>
  </si>
  <si>
    <t>Moy braquial</t>
  </si>
  <si>
    <t>Moy al apoyo</t>
  </si>
  <si>
    <t>Salida de mortal extendido por punta</t>
  </si>
  <si>
    <t>Balleston aleman</t>
  </si>
  <si>
    <t>Felgue a suspension</t>
  </si>
  <si>
    <t>Felgue a Lsit</t>
  </si>
  <si>
    <t>Salida de doble mortal agrupado por punta</t>
  </si>
  <si>
    <t>Tipelt</t>
  </si>
  <si>
    <t>Felgue a manos</t>
  </si>
  <si>
    <t>Bhavsar</t>
  </si>
  <si>
    <t>Gigante diamidov</t>
  </si>
  <si>
    <t>Soporte extendido</t>
  </si>
  <si>
    <t>Parada de manos</t>
  </si>
  <si>
    <t>Vuelos a parado de manos</t>
  </si>
  <si>
    <t>L sit a parado de manos (Kato)</t>
  </si>
  <si>
    <t>Salida frontal a medio giro</t>
  </si>
  <si>
    <t>Parado de manos a descenso braquial</t>
  </si>
  <si>
    <t>Cambio sencillo</t>
  </si>
  <si>
    <t>Cambio interno</t>
  </si>
  <si>
    <t>Salida de mortal agrupado hacia adelanté</t>
  </si>
  <si>
    <t>Salida de mortal agrupado hacia atrás</t>
  </si>
  <si>
    <t>Parado de manos sobre una barra</t>
  </si>
  <si>
    <t>Cambio completo sobre una barra</t>
  </si>
  <si>
    <t>Stutkhere</t>
  </si>
  <si>
    <t>Diamidov</t>
  </si>
  <si>
    <t>Salida de dobles mortales adelanté o atrás</t>
  </si>
  <si>
    <t>Healy</t>
  </si>
  <si>
    <t>Peters</t>
  </si>
  <si>
    <t>Makuts</t>
  </si>
  <si>
    <t>Diamidov con medio</t>
  </si>
  <si>
    <t>Gatson</t>
  </si>
  <si>
    <t>Subida de pecho desde la parada de manos</t>
  </si>
  <si>
    <t>Balleston aleman braquial a inglesa</t>
  </si>
  <si>
    <t>Corte frontal a endo a manos</t>
  </si>
  <si>
    <t>Corte posterior a L sit</t>
  </si>
  <si>
    <t>Impulso a manos desde braquial</t>
  </si>
  <si>
    <t>Honma braquial</t>
  </si>
  <si>
    <t>Honma (Yamawaki)</t>
  </si>
  <si>
    <t>Braquial a Diamidov</t>
  </si>
  <si>
    <t>Braquial a Stutkhere</t>
  </si>
  <si>
    <t>Soporte de colgado</t>
  </si>
  <si>
    <t>Cambios de tomas en suspension</t>
  </si>
  <si>
    <t>Balanceos por encima de la barra</t>
  </si>
  <si>
    <t>Fly agrupado desde balanceo</t>
  </si>
  <si>
    <t>3/4  de gigante</t>
  </si>
  <si>
    <t>3/4 de molino</t>
  </si>
  <si>
    <t>Salida Fly extendido desde balanceo</t>
  </si>
  <si>
    <t>Salida Fly extendido desde gigante</t>
  </si>
  <si>
    <t>Cambio directo</t>
  </si>
  <si>
    <t>Salida de doble mortal atrás en C</t>
  </si>
  <si>
    <t>Gigante saltado</t>
  </si>
  <si>
    <t>Voronin</t>
  </si>
  <si>
    <t>Tkachev</t>
  </si>
  <si>
    <t>Gienger</t>
  </si>
  <si>
    <t>Quast</t>
  </si>
  <si>
    <t>Tkachev en V (Samiloglu)</t>
  </si>
  <si>
    <t>Zou li min</t>
  </si>
  <si>
    <t>Jager</t>
  </si>
  <si>
    <t>Kovacs</t>
  </si>
  <si>
    <t>Tkachev extendido</t>
  </si>
  <si>
    <t>Kolman</t>
  </si>
  <si>
    <t>Cassina</t>
  </si>
  <si>
    <t>Gaylord</t>
  </si>
  <si>
    <t>Subida de estómago</t>
  </si>
  <si>
    <t>Descolgada</t>
  </si>
  <si>
    <t>Vuelta atrás</t>
  </si>
  <si>
    <t>Alemana a impulso</t>
  </si>
  <si>
    <t>Impulso a parada de manos</t>
  </si>
  <si>
    <t>Alemana a la horizontal</t>
  </si>
  <si>
    <t>Salvada a manos</t>
  </si>
  <si>
    <t>Alemana a parada de manos</t>
  </si>
  <si>
    <t>Salvada desdé gigante</t>
  </si>
  <si>
    <t>Endo</t>
  </si>
  <si>
    <t>Stalder</t>
  </si>
  <si>
    <t>Endo cerrado</t>
  </si>
  <si>
    <t>Adler</t>
  </si>
  <si>
    <t>Adler con medio</t>
  </si>
  <si>
    <t>Stalder cerrado</t>
  </si>
  <si>
    <t>Piatti</t>
  </si>
  <si>
    <t>Adler con giro</t>
  </si>
  <si>
    <t xml:space="preserve">Consolidado = 🟩
Proyeccion = 🟦
En Proceso = 🟨
No Adquirido = 🟥
</t>
  </si>
  <si>
    <t>Krishna Vargas</t>
  </si>
  <si>
    <t>Adolfo Sochiro</t>
  </si>
  <si>
    <t>Iker Bonilla</t>
  </si>
  <si>
    <t>Joseph Cardona</t>
  </si>
  <si>
    <t>Kevin Gonzalez</t>
  </si>
  <si>
    <t>PISO</t>
  </si>
  <si>
    <t>Nivel 3</t>
  </si>
  <si>
    <t>Nivel 4</t>
  </si>
  <si>
    <t>Nivel 5</t>
  </si>
  <si>
    <t>Nivel 6</t>
  </si>
  <si>
    <t>Nivel 7</t>
  </si>
  <si>
    <t>Nivel 8</t>
  </si>
  <si>
    <t>Nivel 9</t>
  </si>
  <si>
    <t>Nivel 10 Jr</t>
  </si>
  <si>
    <t>Nivel 10 FIG</t>
  </si>
  <si>
    <t xml:space="preserve">ACROBATICO HACÍA DELANTE </t>
  </si>
  <si>
    <t xml:space="preserve">Rodada adelanté </t>
  </si>
  <si>
    <t xml:space="preserve">Resorte 1 a 2 </t>
  </si>
  <si>
    <t xml:space="preserve">Doble mortal en C adelanté </t>
  </si>
  <si>
    <t xml:space="preserve">ACROBATICO HACÍA ATRÁS </t>
  </si>
  <si>
    <t xml:space="preserve">ACROBATICO CON GIRO </t>
  </si>
  <si>
    <t>ARZON</t>
  </si>
  <si>
    <t xml:space="preserve">Stöckli </t>
  </si>
  <si>
    <t xml:space="preserve">Tijera circulo </t>
  </si>
  <si>
    <t xml:space="preserve">Circulo en grupa </t>
  </si>
  <si>
    <t xml:space="preserve">Magyar </t>
  </si>
  <si>
    <t>ANILLOS</t>
  </si>
  <si>
    <t xml:space="preserve">Plancha dorsal </t>
  </si>
  <si>
    <t xml:space="preserve">Semidisloque desde suspension estática </t>
  </si>
  <si>
    <t xml:space="preserve">Balanceos a la horizontal </t>
  </si>
  <si>
    <t xml:space="preserve">Salida de mortal extendido atrás </t>
  </si>
  <si>
    <t xml:space="preserve">Salida de mortal agrupado hacia adelante </t>
  </si>
  <si>
    <t xml:space="preserve">Salida de doble mortal agrupado hacía atrás </t>
  </si>
  <si>
    <t>SALTO DE CABALLO</t>
  </si>
  <si>
    <t xml:space="preserve">Entrada a botador </t>
  </si>
  <si>
    <t xml:space="preserve">Salto Vertical </t>
  </si>
  <si>
    <t xml:space="preserve">Entrada de kasa a mortal agrup adelanté </t>
  </si>
  <si>
    <t>BARRAS PARALELAS</t>
  </si>
  <si>
    <t xml:space="preserve">ELEMENTOS EN SUSPENSION </t>
  </si>
  <si>
    <t xml:space="preserve">Vuelos a la horizontal </t>
  </si>
  <si>
    <t xml:space="preserve">Vuelos por encima de la paralela </t>
  </si>
  <si>
    <t xml:space="preserve">Plancha agrupada </t>
  </si>
  <si>
    <t xml:space="preserve">Salida de mortal agrupado hacia adelanté </t>
  </si>
  <si>
    <t xml:space="preserve">Salida de mortal agrupado hacia atrás </t>
  </si>
  <si>
    <t xml:space="preserve">Salida de dobles mortales adelanté o atrás </t>
  </si>
  <si>
    <t xml:space="preserve">Impulso a manos desde braquial </t>
  </si>
  <si>
    <t xml:space="preserve">Braquial a Stutkhere </t>
  </si>
  <si>
    <t>BARRA FIJA</t>
  </si>
  <si>
    <t xml:space="preserve">Gigante </t>
  </si>
  <si>
    <t xml:space="preserve">Subida de estómago </t>
  </si>
  <si>
    <t xml:space="preserve">Vuelta atrás </t>
  </si>
  <si>
    <t xml:space="preserve">Alemana a la horizontal </t>
  </si>
  <si>
    <t xml:space="preserve">Salvada desdé gigante </t>
  </si>
  <si>
    <t>INDICADORES DE SEGUIMIENTO ESGILA</t>
  </si>
  <si>
    <t>Atletas evaluados</t>
  </si>
  <si>
    <t>Total</t>
  </si>
  <si>
    <t>% dominio promedio</t>
  </si>
  <si>
    <t>Elementos consolidados</t>
  </si>
  <si>
    <t>Elementos en proceso</t>
  </si>
  <si>
    <t>DOMINIO PROMEDIO POR APARATO</t>
  </si>
  <si>
    <t>CONSOLIDADO GENERAL DE NORMATIVOS ESGILA</t>
  </si>
  <si>
    <t>Atleta</t>
  </si>
  <si>
    <t>Seguimiento</t>
  </si>
  <si>
    <t>ESTADOS DE EVALUACIÓN</t>
  </si>
  <si>
    <t>APARATOS</t>
  </si>
  <si>
    <t>CRITERIO</t>
  </si>
  <si>
    <t>ESTADO → CICLO DE CARGA</t>
  </si>
  <si>
    <t>N/A = no aplica / aún no corresponde</t>
  </si>
  <si>
    <t>Ciclo de carga</t>
  </si>
  <si>
    <t>Enfoque</t>
  </si>
  <si>
    <t>Proyección = habilidad prevista para desarrollar</t>
  </si>
  <si>
    <t>Microciclo</t>
  </si>
  <si>
    <t>Mantener / perfeccionar</t>
  </si>
  <si>
    <t>En proceso = habilidad trabajada pero no consolidada</t>
  </si>
  <si>
    <t>Mesociclo</t>
  </si>
  <si>
    <t>Desarrollar / consolidar</t>
  </si>
  <si>
    <t>Consolidado = habilidad dominada según el criterio del entrenador</t>
  </si>
  <si>
    <t>Macrociclo</t>
  </si>
  <si>
    <t>Iniciar / aprender</t>
  </si>
  <si>
    <t>No aplica</t>
  </si>
  <si>
    <t>Sin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</si>
</sst>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17365D"/>
      <name val="Aptos Narrow"/>
    </font>
    <font>
      <b/>
      <sz val="16"/>
      <color rgb="FFFFFFFF"/>
      <name val="Aptos Narrow"/>
    </font>
    <font>
      <b/>
      <sz val="11"/>
      <name val="Aptos Narrow"/>
    </font>
    <font>
      <b/>
      <sz val="14"/>
      <name val="Aptos Narrow"/>
    </font>
    <font>
      <sz val="14"/>
      <color theme="1"/>
      <name val="Aptos Narrow (Cuerpo)"/>
    </font>
    <font>
      <sz val="16"/>
      <color theme="1"/>
      <name val="Aptos Narrow"/>
      <scheme val="minor"/>
    </font>
    <font>
      <b/>
      <sz val="14"/>
      <color rgb="FF17365D"/>
      <name val="Aptos Narrow (Cuerpo)"/>
    </font>
    <font>
      <b/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/>
      <bottom style="thin">
        <color rgb="FFB7B7B7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B7B7B7"/>
      </left>
      <right/>
      <top/>
      <bottom/>
      <diagonal/>
    </border>
    <border>
      <left style="medium">
        <color indexed="64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B7B7B7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B7B7B7"/>
      </left>
      <right/>
      <top style="thin">
        <color rgb="FFB7B7B7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 vertical="center" textRotation="90"/>
    </xf>
    <xf numFmtId="0" fontId="0" fillId="0" borderId="4" xfId="0" applyBorder="1" applyAlignment="1">
      <alignment horizontal="center" vertical="center"/>
    </xf>
    <xf numFmtId="0" fontId="1" fillId="8" borderId="0" xfId="0" applyFont="1" applyFill="1"/>
    <xf numFmtId="0" fontId="1" fillId="10" borderId="0" xfId="0" applyFont="1" applyFill="1"/>
    <xf numFmtId="0" fontId="0" fillId="0" borderId="5" xfId="0" applyBorder="1"/>
    <xf numFmtId="9" fontId="0" fillId="0" borderId="5" xfId="0" applyNumberFormat="1" applyBorder="1"/>
    <xf numFmtId="0" fontId="4" fillId="0" borderId="0" xfId="0" applyFont="1"/>
    <xf numFmtId="9" fontId="0" fillId="0" borderId="0" xfId="0" applyNumberFormat="1"/>
    <xf numFmtId="0" fontId="5" fillId="11" borderId="0" xfId="0" applyFont="1" applyFill="1"/>
    <xf numFmtId="9" fontId="5" fillId="11" borderId="0" xfId="0" applyNumberFormat="1" applyFont="1" applyFill="1"/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textRotation="90"/>
    </xf>
    <xf numFmtId="0" fontId="6" fillId="0" borderId="0" xfId="0" applyFont="1" applyAlignment="1">
      <alignment textRotation="90"/>
    </xf>
    <xf numFmtId="0" fontId="1" fillId="8" borderId="6" xfId="0" applyFont="1" applyFill="1" applyBorder="1" applyAlignment="1">
      <alignment horizontal="center" vertical="center" textRotation="90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6" fillId="0" borderId="15" xfId="0" applyFont="1" applyBorder="1" applyAlignment="1">
      <alignment horizontal="center" textRotation="90"/>
    </xf>
    <xf numFmtId="0" fontId="0" fillId="0" borderId="15" xfId="0" applyBorder="1"/>
    <xf numFmtId="0" fontId="0" fillId="3" borderId="1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6" fillId="0" borderId="0" xfId="0" applyFont="1" applyAlignment="1">
      <alignment horizontal="center" textRotation="90"/>
    </xf>
    <xf numFmtId="0" fontId="0" fillId="4" borderId="1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1" fillId="10" borderId="1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8" xfId="0" applyBorder="1"/>
    <xf numFmtId="0" fontId="1" fillId="21" borderId="0" xfId="0" applyFont="1" applyFill="1" applyAlignment="1">
      <alignment vertical="center" textRotation="90"/>
    </xf>
    <xf numFmtId="0" fontId="0" fillId="21" borderId="0" xfId="0" applyFill="1"/>
    <xf numFmtId="0" fontId="1" fillId="12" borderId="22" xfId="0" applyFont="1" applyFill="1" applyBorder="1" applyAlignment="1">
      <alignment horizontal="center" vertical="center" textRotation="90"/>
    </xf>
    <xf numFmtId="0" fontId="1" fillId="21" borderId="25" xfId="0" applyFont="1" applyFill="1" applyBorder="1" applyAlignment="1">
      <alignment vertical="center" textRotation="90"/>
    </xf>
    <xf numFmtId="0" fontId="0" fillId="0" borderId="27" xfId="0" applyBorder="1"/>
    <xf numFmtId="0" fontId="1" fillId="8" borderId="28" xfId="0" applyFont="1" applyFill="1" applyBorder="1" applyAlignment="1">
      <alignment horizontal="center" vertical="center" textRotation="90"/>
    </xf>
    <xf numFmtId="0" fontId="1" fillId="10" borderId="0" xfId="0" applyFont="1" applyFill="1"/>
    <xf numFmtId="0" fontId="0" fillId="0" borderId="0" xfId="0"/>
    <xf numFmtId="0" fontId="3" fillId="8" borderId="0" xfId="0" applyFont="1" applyFill="1" applyAlignment="1">
      <alignment horizontal="center"/>
    </xf>
    <xf numFmtId="0" fontId="1" fillId="19" borderId="24" xfId="0" applyFont="1" applyFill="1" applyBorder="1" applyAlignment="1">
      <alignment horizontal="center" vertical="center" textRotation="90"/>
    </xf>
    <xf numFmtId="0" fontId="1" fillId="20" borderId="24" xfId="0" applyFont="1" applyFill="1" applyBorder="1" applyAlignment="1">
      <alignment horizontal="center" vertical="center" textRotation="90"/>
    </xf>
    <xf numFmtId="0" fontId="1" fillId="14" borderId="6" xfId="0" applyFont="1" applyFill="1" applyBorder="1" applyAlignment="1">
      <alignment horizontal="center" vertical="center" textRotation="90"/>
    </xf>
    <xf numFmtId="0" fontId="0" fillId="0" borderId="16" xfId="0" applyBorder="1"/>
    <xf numFmtId="0" fontId="1" fillId="18" borderId="24" xfId="0" applyFont="1" applyFill="1" applyBorder="1" applyAlignment="1">
      <alignment horizontal="center" vertical="center" textRotation="90"/>
    </xf>
    <xf numFmtId="0" fontId="1" fillId="16" borderId="24" xfId="0" applyFont="1" applyFill="1" applyBorder="1" applyAlignment="1">
      <alignment horizontal="center" vertical="center" textRotation="90"/>
    </xf>
    <xf numFmtId="0" fontId="1" fillId="19" borderId="6" xfId="0" applyFont="1" applyFill="1" applyBorder="1" applyAlignment="1">
      <alignment horizontal="center" vertical="center" textRotation="90"/>
    </xf>
    <xf numFmtId="0" fontId="2" fillId="9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1" fillId="21" borderId="22" xfId="0" applyFont="1" applyFill="1" applyBorder="1" applyAlignment="1">
      <alignment horizontal="center" vertical="center" textRotation="90"/>
    </xf>
    <xf numFmtId="0" fontId="0" fillId="0" borderId="22" xfId="0" applyBorder="1"/>
    <xf numFmtId="0" fontId="1" fillId="20" borderId="6" xfId="0" applyFont="1" applyFill="1" applyBorder="1" applyAlignment="1">
      <alignment horizontal="center" vertical="center" textRotation="90"/>
    </xf>
    <xf numFmtId="0" fontId="8" fillId="9" borderId="9" xfId="0" applyFont="1" applyFill="1" applyBorder="1" applyAlignment="1">
      <alignment horizontal="center" vertical="center" textRotation="90" wrapText="1"/>
    </xf>
    <xf numFmtId="0" fontId="0" fillId="0" borderId="12" xfId="0" applyBorder="1"/>
    <xf numFmtId="0" fontId="0" fillId="0" borderId="26" xfId="0" applyBorder="1"/>
    <xf numFmtId="0" fontId="1" fillId="12" borderId="20" xfId="0" applyFont="1" applyFill="1" applyBorder="1" applyAlignment="1">
      <alignment horizontal="center" vertical="center" textRotation="90"/>
    </xf>
    <xf numFmtId="0" fontId="1" fillId="16" borderId="6" xfId="0" applyFont="1" applyFill="1" applyBorder="1" applyAlignment="1">
      <alignment horizontal="center" vertical="center" textRotation="90"/>
    </xf>
    <xf numFmtId="0" fontId="1" fillId="21" borderId="0" xfId="0" applyFont="1" applyFill="1" applyAlignment="1">
      <alignment horizontal="center" vertical="center" textRotation="90"/>
    </xf>
    <xf numFmtId="0" fontId="1" fillId="14" borderId="24" xfId="0" applyFont="1" applyFill="1" applyBorder="1" applyAlignment="1">
      <alignment horizontal="center" vertical="center" textRotation="90"/>
    </xf>
    <xf numFmtId="0" fontId="1" fillId="13" borderId="20" xfId="0" applyFont="1" applyFill="1" applyBorder="1" applyAlignment="1">
      <alignment horizontal="center" vertical="center" textRotation="90"/>
    </xf>
    <xf numFmtId="0" fontId="1" fillId="17" borderId="24" xfId="0" applyFont="1" applyFill="1" applyBorder="1" applyAlignment="1">
      <alignment horizontal="center" vertical="center" textRotation="90"/>
    </xf>
    <xf numFmtId="0" fontId="1" fillId="15" borderId="6" xfId="0" applyFont="1" applyFill="1" applyBorder="1" applyAlignment="1">
      <alignment horizontal="center" vertical="center" textRotation="90"/>
    </xf>
    <xf numFmtId="0" fontId="1" fillId="12" borderId="25" xfId="0" applyFont="1" applyFill="1" applyBorder="1" applyAlignment="1">
      <alignment horizontal="center" vertical="center" textRotation="90"/>
    </xf>
    <xf numFmtId="0" fontId="0" fillId="0" borderId="25" xfId="0" applyBorder="1"/>
    <xf numFmtId="0" fontId="1" fillId="13" borderId="6" xfId="0" applyFont="1" applyFill="1" applyBorder="1" applyAlignment="1">
      <alignment horizontal="center" vertical="center" textRotation="90"/>
    </xf>
    <xf numFmtId="0" fontId="1" fillId="12" borderId="0" xfId="0" applyFont="1" applyFill="1" applyAlignment="1">
      <alignment horizontal="center" vertical="center" textRotation="90"/>
    </xf>
    <xf numFmtId="0" fontId="1" fillId="17" borderId="6" xfId="0" applyFont="1" applyFill="1" applyBorder="1" applyAlignment="1">
      <alignment horizontal="center" vertical="center" textRotation="90"/>
    </xf>
    <xf numFmtId="0" fontId="1" fillId="15" borderId="24" xfId="0" applyFont="1" applyFill="1" applyBorder="1" applyAlignment="1">
      <alignment horizontal="center" vertical="center" textRotation="90"/>
    </xf>
    <xf numFmtId="0" fontId="1" fillId="21" borderId="25" xfId="0" applyFont="1" applyFill="1" applyBorder="1" applyAlignment="1">
      <alignment horizontal="center" vertical="center" textRotation="90"/>
    </xf>
    <xf numFmtId="0" fontId="1" fillId="21" borderId="23" xfId="0" applyFont="1" applyFill="1" applyBorder="1" applyAlignment="1">
      <alignment horizontal="center" vertical="center" textRotation="90"/>
    </xf>
    <xf numFmtId="0" fontId="0" fillId="0" borderId="23" xfId="0" applyBorder="1"/>
    <xf numFmtId="0" fontId="1" fillId="18" borderId="6" xfId="0" applyFont="1" applyFill="1" applyBorder="1" applyAlignment="1">
      <alignment horizontal="center" vertical="center" textRotation="90"/>
    </xf>
    <xf numFmtId="0" fontId="1" fillId="13" borderId="24" xfId="0" applyFont="1" applyFill="1" applyBorder="1" applyAlignment="1">
      <alignment horizontal="center" vertical="center" textRotation="90"/>
    </xf>
    <xf numFmtId="0" fontId="2" fillId="9" borderId="1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27" xfId="0" applyBorder="1"/>
    <xf numFmtId="0" fontId="1" fillId="16" borderId="20" xfId="0" applyFont="1" applyFill="1" applyBorder="1" applyAlignment="1">
      <alignment horizontal="center" vertical="center" textRotation="90"/>
    </xf>
    <xf numFmtId="0" fontId="1" fillId="12" borderId="22" xfId="0" applyFont="1" applyFill="1" applyBorder="1" applyAlignment="1">
      <alignment horizontal="center" vertical="center" textRotation="90"/>
    </xf>
    <xf numFmtId="0" fontId="0" fillId="0" borderId="22" xfId="0" applyBorder="1" applyAlignment="1">
      <alignment horizontal="center"/>
    </xf>
    <xf numFmtId="0" fontId="2" fillId="9" borderId="7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0" xfId="0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1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31" xfId="0" applyFont="1" applyFill="1" applyBorder="1" applyAlignment="1">
      <alignment horizontal="center" vertical="center" wrapText="1"/>
    </xf>
    <xf numFmtId="0" fontId="2" fillId="9" borderId="3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FF0000"/>
      </font>
      <fill>
        <patternFill patternType="solid">
          <fgColor rgb="FFF2F2F2"/>
          <bgColor rgb="FFFF0000"/>
        </patternFill>
      </fill>
    </dxf>
    <dxf>
      <font>
        <color rgb="FF0070C0"/>
      </font>
      <fill>
        <patternFill patternType="solid">
          <fgColor rgb="FFFFF2CC"/>
          <bgColor rgb="FF0070C0"/>
        </patternFill>
      </fill>
    </dxf>
    <dxf>
      <font>
        <color rgb="FFFFC000"/>
      </font>
      <fill>
        <patternFill patternType="solid">
          <fgColor rgb="FFFCE4D6"/>
          <bgColor rgb="FFFFC000"/>
        </patternFill>
      </fill>
    </dxf>
    <dxf>
      <font>
        <color theme="9"/>
      </font>
      <fill>
        <patternFill patternType="solid">
          <fgColor rgb="FFE2F0D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Dominio promedio por aparato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INDICADORES!$B$11</c:f>
              <c:strCache>
                <c:ptCount val="1"/>
                <c:pt idx="0">
                  <c:v>% dominio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INDICADORES!$A$12:$A$27</c:f>
              <c:strCache>
                <c:ptCount val="16"/>
                <c:pt idx="0">
                  <c:v>POSICIONES BÁSICAS Y FUERZA</c:v>
                </c:pt>
                <c:pt idx="1">
                  <c:v>ACROBATICO HACÍA DELANTE</c:v>
                </c:pt>
                <c:pt idx="2">
                  <c:v>ACROBATICO HACÍA ATRÁS</c:v>
                </c:pt>
                <c:pt idx="3">
                  <c:v>ACROBATICO CON GIRO</c:v>
                </c:pt>
                <c:pt idx="4">
                  <c:v>HONGO</c:v>
                </c:pt>
                <c:pt idx="5">
                  <c:v>CABALLO SIN ARZON</c:v>
                </c:pt>
                <c:pt idx="6">
                  <c:v>CABALLO CON ARZONES</c:v>
                </c:pt>
                <c:pt idx="7">
                  <c:v>ELEMENTOS DE FUERZA</c:v>
                </c:pt>
                <c:pt idx="8">
                  <c:v>ELEMENTOS DE VUELO</c:v>
                </c:pt>
                <c:pt idx="9">
                  <c:v>ACCIONES SIN TABLA DE SALTO</c:v>
                </c:pt>
                <c:pt idx="10">
                  <c:v>SALTOS</c:v>
                </c:pt>
                <c:pt idx="11">
                  <c:v>ELEMENTOS EN SUSPENSION</c:v>
                </c:pt>
                <c:pt idx="12">
                  <c:v>ELEMENTOS EN APOYO</c:v>
                </c:pt>
                <c:pt idx="13">
                  <c:v>ELEMENTOS EN APOYO BRAQUIAL</c:v>
                </c:pt>
                <c:pt idx="14">
                  <c:v>ELEMENTOS DE VUELO Y SOLTADAS</c:v>
                </c:pt>
                <c:pt idx="15">
                  <c:v>ACERCAMIENTO A LA BARRA</c:v>
                </c:pt>
              </c:strCache>
            </c:strRef>
          </c:cat>
          <c:val>
            <c:numRef>
              <c:f>INDICADORES!$B$12:$B$27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0-5946-B312-52663426F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700"/>
            </a:pPr>
            <a:endParaRPr lang="es-MX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Distribución de estados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25870305555555562"/>
          <c:y val="0.19203333333333331"/>
          <c:w val="0.3767608333333336"/>
          <c:h val="0.47095104166666701"/>
        </c:manualLayout>
      </c:layout>
      <c:pieChart>
        <c:varyColors val="1"/>
        <c:ser>
          <c:idx val="0"/>
          <c:order val="0"/>
          <c:tx>
            <c:strRef>
              <c:f>INDICADORES!$E$3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INDICADORES!$D$4:$D$7</c:f>
              <c:strCache>
                <c:ptCount val="4"/>
                <c:pt idx="0">
                  <c:v>N/A</c:v>
                </c:pt>
                <c:pt idx="1">
                  <c:v>Proyección</c:v>
                </c:pt>
                <c:pt idx="2">
                  <c:v>En proceso</c:v>
                </c:pt>
                <c:pt idx="3">
                  <c:v>Consolidado</c:v>
                </c:pt>
              </c:strCache>
            </c:strRef>
          </c:cat>
          <c:val>
            <c:numRef>
              <c:f>INDICADORES!$E$4:$E$7</c:f>
              <c:numCache>
                <c:formatCode>General</c:formatCode>
                <c:ptCount val="4"/>
                <c:pt idx="0">
                  <c:v>0</c:v>
                </c:pt>
                <c:pt idx="1">
                  <c:v>1584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A-5E4B-9F87-656ABFAA549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25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7"/>
  <sheetViews>
    <sheetView showGridLines="0" tabSelected="1" zoomScale="140" zoomScaleNormal="140" zoomScaleSheetLayoutView="100" workbookViewId="0">
      <pane ySplit="1" topLeftCell="A2" activePane="bottomLeft" state="frozen"/>
      <selection pane="bottomLeft" activeCell="A231" sqref="A231:W231"/>
    </sheetView>
  </sheetViews>
  <sheetFormatPr baseColWidth="10" defaultColWidth="8.83203125" defaultRowHeight="15" x14ac:dyDescent="0.2"/>
  <cols>
    <col min="1" max="1" width="9.5" style="20" customWidth="1"/>
    <col min="2" max="2" width="37.1640625" style="1" bestFit="1" customWidth="1"/>
    <col min="3" max="14" width="3" bestFit="1" customWidth="1"/>
    <col min="15" max="15" width="2.83203125" customWidth="1"/>
    <col min="16" max="58" width="3" bestFit="1" customWidth="1"/>
  </cols>
  <sheetData>
    <row r="1" spans="1:23" s="8" customFormat="1" ht="99" customHeight="1" thickBot="1" x14ac:dyDescent="0.25">
      <c r="A1" s="19"/>
      <c r="B1" s="18" t="s">
        <v>270</v>
      </c>
      <c r="C1" s="49" t="s">
        <v>2</v>
      </c>
      <c r="D1" s="49" t="s">
        <v>271</v>
      </c>
      <c r="E1" s="49" t="s">
        <v>272</v>
      </c>
      <c r="F1" s="49" t="s">
        <v>273</v>
      </c>
      <c r="G1" s="49" t="s">
        <v>274</v>
      </c>
      <c r="H1" s="49" t="s">
        <v>275</v>
      </c>
      <c r="I1" s="21"/>
      <c r="J1" s="21"/>
      <c r="K1" s="21"/>
      <c r="L1" s="21"/>
      <c r="M1" s="21"/>
      <c r="N1" s="21"/>
    </row>
    <row r="2" spans="1:23" ht="16" customHeight="1" thickBot="1" x14ac:dyDescent="0.25">
      <c r="A2" s="93" t="s">
        <v>276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3" ht="15" customHeight="1" x14ac:dyDescent="0.2">
      <c r="A3" s="66" t="s">
        <v>10</v>
      </c>
      <c r="B3" s="22" t="s">
        <v>31</v>
      </c>
      <c r="C3" s="23" t="s">
        <v>7</v>
      </c>
      <c r="D3" s="23" t="s">
        <v>7</v>
      </c>
      <c r="E3" s="23" t="s">
        <v>7</v>
      </c>
      <c r="F3" s="23" t="s">
        <v>7</v>
      </c>
      <c r="G3" s="23" t="s">
        <v>7</v>
      </c>
      <c r="H3" s="23" t="s">
        <v>7</v>
      </c>
      <c r="I3" s="23" t="s">
        <v>7</v>
      </c>
      <c r="J3" s="23" t="s">
        <v>7</v>
      </c>
      <c r="K3" s="23" t="s">
        <v>7</v>
      </c>
      <c r="L3" s="23" t="s">
        <v>7</v>
      </c>
      <c r="M3" s="23" t="s">
        <v>7</v>
      </c>
      <c r="N3" s="23" t="s">
        <v>7</v>
      </c>
      <c r="O3" s="69" t="s">
        <v>277</v>
      </c>
      <c r="P3" s="78" t="s">
        <v>278</v>
      </c>
      <c r="Q3" s="55" t="s">
        <v>279</v>
      </c>
      <c r="R3" s="75" t="s">
        <v>280</v>
      </c>
      <c r="S3" s="70" t="s">
        <v>281</v>
      </c>
      <c r="T3" s="80" t="s">
        <v>282</v>
      </c>
      <c r="U3" s="85" t="s">
        <v>283</v>
      </c>
      <c r="V3" s="59" t="s">
        <v>284</v>
      </c>
      <c r="W3" s="65" t="s">
        <v>285</v>
      </c>
    </row>
    <row r="4" spans="1:23" x14ac:dyDescent="0.2">
      <c r="A4" s="67"/>
      <c r="B4" s="2" t="s">
        <v>32</v>
      </c>
      <c r="C4" s="9" t="s">
        <v>7</v>
      </c>
      <c r="D4" s="9" t="s">
        <v>7</v>
      </c>
      <c r="E4" s="9" t="s">
        <v>7</v>
      </c>
      <c r="F4" s="9" t="s">
        <v>7</v>
      </c>
      <c r="G4" s="9" t="s">
        <v>7</v>
      </c>
      <c r="H4" s="9" t="s">
        <v>7</v>
      </c>
      <c r="I4" s="9" t="s">
        <v>7</v>
      </c>
      <c r="J4" s="9" t="s">
        <v>7</v>
      </c>
      <c r="K4" s="9" t="s">
        <v>7</v>
      </c>
      <c r="L4" s="9" t="s">
        <v>7</v>
      </c>
      <c r="M4" s="9" t="s">
        <v>7</v>
      </c>
      <c r="N4" s="9" t="s">
        <v>7</v>
      </c>
      <c r="O4" s="62"/>
      <c r="P4" s="56"/>
      <c r="Q4" s="56"/>
      <c r="R4" s="56"/>
      <c r="S4" s="56"/>
      <c r="T4" s="56"/>
      <c r="U4" s="56"/>
      <c r="V4" s="56"/>
      <c r="W4" s="56"/>
    </row>
    <row r="5" spans="1:23" x14ac:dyDescent="0.2">
      <c r="A5" s="67"/>
      <c r="B5" s="2" t="s">
        <v>33</v>
      </c>
      <c r="C5" s="9" t="s">
        <v>7</v>
      </c>
      <c r="D5" s="9" t="s">
        <v>7</v>
      </c>
      <c r="E5" s="9" t="s">
        <v>7</v>
      </c>
      <c r="F5" s="9" t="s">
        <v>7</v>
      </c>
      <c r="G5" s="9" t="s">
        <v>7</v>
      </c>
      <c r="H5" s="9" t="s">
        <v>7</v>
      </c>
      <c r="I5" s="9" t="s">
        <v>7</v>
      </c>
      <c r="J5" s="9" t="s">
        <v>7</v>
      </c>
      <c r="K5" s="9" t="s">
        <v>7</v>
      </c>
      <c r="L5" s="9" t="s">
        <v>7</v>
      </c>
      <c r="M5" s="9" t="s">
        <v>7</v>
      </c>
      <c r="N5" s="9" t="s">
        <v>7</v>
      </c>
      <c r="O5" s="62"/>
      <c r="P5" s="56"/>
      <c r="Q5" s="56"/>
      <c r="R5" s="56"/>
      <c r="S5" s="56"/>
      <c r="T5" s="56"/>
      <c r="U5" s="56"/>
      <c r="V5" s="56"/>
      <c r="W5" s="56"/>
    </row>
    <row r="6" spans="1:23" x14ac:dyDescent="0.2">
      <c r="A6" s="67"/>
      <c r="B6" s="2" t="s">
        <v>34</v>
      </c>
      <c r="C6" s="9" t="s">
        <v>7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  <c r="I6" s="9" t="s">
        <v>7</v>
      </c>
      <c r="J6" s="9" t="s">
        <v>7</v>
      </c>
      <c r="K6" s="9" t="s">
        <v>7</v>
      </c>
      <c r="L6" s="9" t="s">
        <v>7</v>
      </c>
      <c r="M6" s="9" t="s">
        <v>7</v>
      </c>
      <c r="N6" s="9" t="s">
        <v>7</v>
      </c>
      <c r="O6" s="62"/>
      <c r="P6" s="56"/>
      <c r="Q6" s="56"/>
      <c r="R6" s="56"/>
      <c r="S6" s="56"/>
      <c r="T6" s="56"/>
      <c r="U6" s="56"/>
      <c r="V6" s="56"/>
      <c r="W6" s="56"/>
    </row>
    <row r="7" spans="1:23" x14ac:dyDescent="0.2">
      <c r="A7" s="67"/>
      <c r="B7" s="2" t="s">
        <v>35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9" t="s">
        <v>7</v>
      </c>
      <c r="J7" s="9" t="s">
        <v>7</v>
      </c>
      <c r="K7" s="9" t="s">
        <v>7</v>
      </c>
      <c r="L7" s="9" t="s">
        <v>7</v>
      </c>
      <c r="M7" s="9" t="s">
        <v>7</v>
      </c>
      <c r="N7" s="9" t="s">
        <v>7</v>
      </c>
      <c r="O7" s="62"/>
      <c r="P7" s="56"/>
      <c r="Q7" s="56"/>
      <c r="R7" s="56"/>
      <c r="S7" s="56"/>
      <c r="T7" s="56"/>
      <c r="U7" s="56"/>
      <c r="V7" s="56"/>
      <c r="W7" s="56"/>
    </row>
    <row r="8" spans="1:23" x14ac:dyDescent="0.2">
      <c r="A8" s="67"/>
      <c r="B8" s="2" t="s">
        <v>36</v>
      </c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62"/>
      <c r="P8" s="56"/>
      <c r="Q8" s="56"/>
      <c r="R8" s="56"/>
      <c r="S8" s="56"/>
      <c r="T8" s="56"/>
      <c r="U8" s="56"/>
      <c r="V8" s="56"/>
      <c r="W8" s="56"/>
    </row>
    <row r="9" spans="1:23" x14ac:dyDescent="0.2">
      <c r="A9" s="67"/>
      <c r="B9" s="2" t="s">
        <v>37</v>
      </c>
      <c r="C9" s="9" t="s">
        <v>7</v>
      </c>
      <c r="D9" s="9" t="s">
        <v>7</v>
      </c>
      <c r="E9" s="9" t="s">
        <v>7</v>
      </c>
      <c r="F9" s="9" t="s">
        <v>7</v>
      </c>
      <c r="G9" s="9" t="s">
        <v>7</v>
      </c>
      <c r="H9" s="9" t="s">
        <v>7</v>
      </c>
      <c r="I9" s="9" t="s">
        <v>7</v>
      </c>
      <c r="J9" s="9" t="s">
        <v>7</v>
      </c>
      <c r="K9" s="9" t="s">
        <v>7</v>
      </c>
      <c r="L9" s="9" t="s">
        <v>7</v>
      </c>
      <c r="M9" s="9" t="s">
        <v>7</v>
      </c>
      <c r="N9" s="9" t="s">
        <v>7</v>
      </c>
      <c r="O9" s="62"/>
      <c r="P9" s="56"/>
      <c r="Q9" s="56"/>
      <c r="R9" s="56"/>
      <c r="S9" s="56"/>
      <c r="T9" s="56"/>
      <c r="U9" s="56"/>
      <c r="V9" s="56"/>
      <c r="W9" s="56"/>
    </row>
    <row r="10" spans="1:23" x14ac:dyDescent="0.2">
      <c r="A10" s="67"/>
      <c r="B10" s="2" t="s">
        <v>38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9" t="s">
        <v>7</v>
      </c>
      <c r="J10" s="9" t="s">
        <v>7</v>
      </c>
      <c r="K10" s="9" t="s">
        <v>7</v>
      </c>
      <c r="L10" s="9" t="s">
        <v>7</v>
      </c>
      <c r="M10" s="9" t="s">
        <v>7</v>
      </c>
      <c r="N10" s="9" t="s">
        <v>7</v>
      </c>
      <c r="O10" s="62"/>
      <c r="P10" s="56"/>
      <c r="Q10" s="56"/>
      <c r="R10" s="56"/>
      <c r="S10" s="56"/>
      <c r="T10" s="56"/>
      <c r="U10" s="56"/>
      <c r="V10" s="56"/>
      <c r="W10" s="56"/>
    </row>
    <row r="11" spans="1:23" x14ac:dyDescent="0.2">
      <c r="A11" s="67"/>
      <c r="B11" s="2" t="s">
        <v>39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62"/>
      <c r="P11" s="56"/>
      <c r="Q11" s="56"/>
      <c r="R11" s="56"/>
      <c r="S11" s="56"/>
      <c r="T11" s="56"/>
      <c r="U11" s="56"/>
      <c r="V11" s="56"/>
      <c r="W11" s="56"/>
    </row>
    <row r="12" spans="1:23" x14ac:dyDescent="0.2">
      <c r="A12" s="67"/>
      <c r="B12" s="2" t="s">
        <v>40</v>
      </c>
      <c r="C12" s="9" t="s">
        <v>7</v>
      </c>
      <c r="D12" s="9" t="s">
        <v>7</v>
      </c>
      <c r="E12" s="9" t="s">
        <v>7</v>
      </c>
      <c r="F12" s="9" t="s">
        <v>7</v>
      </c>
      <c r="G12" s="9" t="s">
        <v>7</v>
      </c>
      <c r="H12" s="9" t="s">
        <v>7</v>
      </c>
      <c r="I12" s="9" t="s">
        <v>7</v>
      </c>
      <c r="J12" s="9" t="s">
        <v>7</v>
      </c>
      <c r="K12" s="9" t="s">
        <v>7</v>
      </c>
      <c r="L12" s="9" t="s">
        <v>7</v>
      </c>
      <c r="M12" s="9" t="s">
        <v>7</v>
      </c>
      <c r="N12" s="9" t="s">
        <v>7</v>
      </c>
      <c r="O12" s="62"/>
      <c r="P12" s="56"/>
      <c r="Q12" s="56"/>
      <c r="R12" s="56"/>
      <c r="S12" s="56"/>
      <c r="T12" s="56"/>
      <c r="U12" s="56"/>
      <c r="V12" s="56"/>
      <c r="W12" s="56"/>
    </row>
    <row r="13" spans="1:23" x14ac:dyDescent="0.2">
      <c r="A13" s="67"/>
      <c r="B13" s="2" t="s">
        <v>41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9" t="s">
        <v>7</v>
      </c>
      <c r="J13" s="9" t="s">
        <v>7</v>
      </c>
      <c r="K13" s="9" t="s">
        <v>7</v>
      </c>
      <c r="L13" s="9" t="s">
        <v>7</v>
      </c>
      <c r="M13" s="9" t="s">
        <v>7</v>
      </c>
      <c r="N13" s="9" t="s">
        <v>7</v>
      </c>
      <c r="O13" s="62"/>
      <c r="P13" s="56"/>
      <c r="Q13" s="56"/>
      <c r="R13" s="56"/>
      <c r="S13" s="56"/>
      <c r="T13" s="56"/>
      <c r="U13" s="56"/>
      <c r="V13" s="56"/>
      <c r="W13" s="56"/>
    </row>
    <row r="14" spans="1:23" x14ac:dyDescent="0.2">
      <c r="A14" s="67"/>
      <c r="B14" s="2" t="s">
        <v>42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  <c r="M14" s="9" t="s">
        <v>7</v>
      </c>
      <c r="N14" s="9" t="s">
        <v>7</v>
      </c>
      <c r="O14" s="62"/>
      <c r="P14" s="56"/>
      <c r="Q14" s="56"/>
      <c r="R14" s="56"/>
      <c r="S14" s="56"/>
      <c r="T14" s="56"/>
      <c r="U14" s="56"/>
      <c r="V14" s="56"/>
      <c r="W14" s="56"/>
    </row>
    <row r="15" spans="1:23" x14ac:dyDescent="0.2">
      <c r="A15" s="67"/>
      <c r="B15" s="2" t="s">
        <v>43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  <c r="M15" s="9" t="s">
        <v>7</v>
      </c>
      <c r="N15" s="9" t="s">
        <v>7</v>
      </c>
      <c r="O15" s="96"/>
      <c r="P15" s="56"/>
      <c r="Q15" s="56"/>
      <c r="R15" s="56"/>
      <c r="S15" s="56"/>
      <c r="T15" s="56"/>
      <c r="U15" s="56"/>
      <c r="V15" s="56"/>
      <c r="W15" s="56"/>
    </row>
    <row r="16" spans="1:23" ht="15.75" customHeight="1" thickBot="1" x14ac:dyDescent="0.25">
      <c r="A16" s="68"/>
      <c r="B16" s="24" t="s">
        <v>44</v>
      </c>
      <c r="C16" s="25" t="s">
        <v>7</v>
      </c>
      <c r="D16" s="25" t="s">
        <v>7</v>
      </c>
      <c r="E16" s="25" t="s">
        <v>7</v>
      </c>
      <c r="F16" s="25" t="s">
        <v>7</v>
      </c>
      <c r="G16" s="25" t="s">
        <v>7</v>
      </c>
      <c r="H16" s="25" t="s">
        <v>7</v>
      </c>
      <c r="I16" s="25" t="s">
        <v>7</v>
      </c>
      <c r="J16" s="25" t="s">
        <v>7</v>
      </c>
      <c r="K16" s="25" t="s">
        <v>7</v>
      </c>
      <c r="L16" s="25" t="s">
        <v>7</v>
      </c>
      <c r="M16" s="25" t="s">
        <v>7</v>
      </c>
      <c r="N16" s="25" t="s">
        <v>7</v>
      </c>
      <c r="O16" s="97"/>
      <c r="P16" s="56"/>
      <c r="Q16" s="56"/>
      <c r="R16" s="56"/>
      <c r="S16" s="56"/>
      <c r="T16" s="56"/>
      <c r="U16" s="56"/>
      <c r="V16" s="56"/>
      <c r="W16" s="56"/>
    </row>
    <row r="17" spans="1:23" x14ac:dyDescent="0.2">
      <c r="A17" s="66" t="s">
        <v>286</v>
      </c>
      <c r="B17" s="22" t="s">
        <v>287</v>
      </c>
      <c r="C17" s="23" t="s">
        <v>7</v>
      </c>
      <c r="D17" s="23" t="s">
        <v>7</v>
      </c>
      <c r="E17" s="23" t="s">
        <v>7</v>
      </c>
      <c r="F17" s="23" t="s">
        <v>7</v>
      </c>
      <c r="G17" s="23" t="s">
        <v>7</v>
      </c>
      <c r="H17" s="23" t="s">
        <v>7</v>
      </c>
      <c r="I17" s="23" t="s">
        <v>7</v>
      </c>
      <c r="J17" s="23" t="s">
        <v>7</v>
      </c>
      <c r="K17" s="23" t="s">
        <v>7</v>
      </c>
      <c r="L17" s="23" t="s">
        <v>7</v>
      </c>
      <c r="M17" s="23" t="s">
        <v>7</v>
      </c>
      <c r="N17" s="23" t="s">
        <v>7</v>
      </c>
      <c r="O17" s="69" t="s">
        <v>277</v>
      </c>
      <c r="P17" s="78" t="s">
        <v>278</v>
      </c>
      <c r="Q17" s="55" t="s">
        <v>279</v>
      </c>
      <c r="R17" s="75" t="s">
        <v>280</v>
      </c>
      <c r="S17" s="70" t="s">
        <v>281</v>
      </c>
      <c r="T17" s="80" t="s">
        <v>282</v>
      </c>
      <c r="U17" s="85" t="s">
        <v>283</v>
      </c>
      <c r="V17" s="59" t="s">
        <v>284</v>
      </c>
      <c r="W17" s="65" t="s">
        <v>285</v>
      </c>
    </row>
    <row r="18" spans="1:23" x14ac:dyDescent="0.2">
      <c r="A18" s="67"/>
      <c r="B18" s="2" t="s">
        <v>46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  <c r="N18" s="9" t="s">
        <v>7</v>
      </c>
      <c r="O18" s="62"/>
      <c r="P18" s="56"/>
      <c r="Q18" s="56"/>
      <c r="R18" s="56"/>
      <c r="S18" s="56"/>
      <c r="T18" s="56"/>
      <c r="U18" s="56"/>
      <c r="V18" s="56"/>
      <c r="W18" s="56"/>
    </row>
    <row r="19" spans="1:23" x14ac:dyDescent="0.2">
      <c r="A19" s="67"/>
      <c r="B19" s="2" t="s">
        <v>47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62"/>
      <c r="P19" s="56"/>
      <c r="Q19" s="56"/>
      <c r="R19" s="56"/>
      <c r="S19" s="56"/>
      <c r="T19" s="56"/>
      <c r="U19" s="56"/>
      <c r="V19" s="56"/>
      <c r="W19" s="56"/>
    </row>
    <row r="20" spans="1:23" x14ac:dyDescent="0.2">
      <c r="A20" s="67"/>
      <c r="B20" s="2" t="s">
        <v>48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83"/>
      <c r="P20" s="56"/>
      <c r="Q20" s="56"/>
      <c r="R20" s="56"/>
      <c r="S20" s="56"/>
      <c r="T20" s="56"/>
      <c r="U20" s="56"/>
      <c r="V20" s="56"/>
      <c r="W20" s="56"/>
    </row>
    <row r="21" spans="1:23" x14ac:dyDescent="0.2">
      <c r="A21" s="67"/>
      <c r="B21" s="2" t="s">
        <v>49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64"/>
      <c r="P21" s="44"/>
      <c r="Q21" s="56"/>
      <c r="R21" s="56"/>
      <c r="S21" s="56"/>
      <c r="T21" s="56"/>
      <c r="U21" s="56"/>
      <c r="V21" s="56"/>
      <c r="W21" s="56"/>
    </row>
    <row r="22" spans="1:23" x14ac:dyDescent="0.2">
      <c r="A22" s="67"/>
      <c r="B22" s="2" t="s">
        <v>50</v>
      </c>
      <c r="C22" s="9" t="s">
        <v>7</v>
      </c>
      <c r="D22" s="9" t="s">
        <v>7</v>
      </c>
      <c r="E22" s="9" t="s">
        <v>7</v>
      </c>
      <c r="F22" s="9" t="s">
        <v>7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64"/>
      <c r="P22" s="44"/>
      <c r="Q22" s="56"/>
      <c r="R22" s="56"/>
      <c r="S22" s="56"/>
      <c r="T22" s="56"/>
      <c r="U22" s="56"/>
      <c r="V22" s="56"/>
      <c r="W22" s="56"/>
    </row>
    <row r="23" spans="1:23" x14ac:dyDescent="0.2">
      <c r="A23" s="67"/>
      <c r="B23" s="2" t="s">
        <v>288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  <c r="N23" s="9" t="s">
        <v>7</v>
      </c>
      <c r="O23" s="64"/>
      <c r="P23" s="44"/>
      <c r="Q23" s="56"/>
      <c r="R23" s="56"/>
      <c r="S23" s="56"/>
      <c r="T23" s="56"/>
      <c r="U23" s="56"/>
      <c r="V23" s="56"/>
      <c r="W23" s="56"/>
    </row>
    <row r="24" spans="1:23" x14ac:dyDescent="0.2">
      <c r="A24" s="67"/>
      <c r="B24" s="2" t="s">
        <v>52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  <c r="N24" s="9" t="s">
        <v>7</v>
      </c>
      <c r="O24" s="64"/>
      <c r="P24" s="44"/>
      <c r="Q24" s="56"/>
      <c r="R24" s="56"/>
      <c r="S24" s="56"/>
      <c r="T24" s="56"/>
      <c r="U24" s="56"/>
      <c r="V24" s="56"/>
      <c r="W24" s="56"/>
    </row>
    <row r="25" spans="1:23" x14ac:dyDescent="0.2">
      <c r="A25" s="67"/>
      <c r="B25" s="2" t="s">
        <v>53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  <c r="N25" s="9" t="s">
        <v>7</v>
      </c>
      <c r="O25" s="64"/>
      <c r="P25" s="44"/>
      <c r="Q25" s="44"/>
      <c r="R25" s="56"/>
      <c r="S25" s="56"/>
      <c r="T25" s="56"/>
      <c r="U25" s="56"/>
      <c r="V25" s="56"/>
      <c r="W25" s="56"/>
    </row>
    <row r="26" spans="1:23" x14ac:dyDescent="0.2">
      <c r="A26" s="67"/>
      <c r="B26" s="2" t="s">
        <v>54</v>
      </c>
      <c r="C26" s="9" t="s">
        <v>7</v>
      </c>
      <c r="D26" s="9" t="s">
        <v>7</v>
      </c>
      <c r="E26" s="9" t="s">
        <v>7</v>
      </c>
      <c r="F26" s="9" t="s">
        <v>7</v>
      </c>
      <c r="G26" s="9" t="s">
        <v>7</v>
      </c>
      <c r="H26" s="9" t="s">
        <v>7</v>
      </c>
      <c r="I26" s="9" t="s">
        <v>7</v>
      </c>
      <c r="J26" s="9" t="s">
        <v>7</v>
      </c>
      <c r="K26" s="9" t="s">
        <v>7</v>
      </c>
      <c r="L26" s="9" t="s">
        <v>7</v>
      </c>
      <c r="M26" s="9" t="s">
        <v>7</v>
      </c>
      <c r="N26" s="9" t="s">
        <v>7</v>
      </c>
      <c r="O26" s="64"/>
      <c r="P26" s="44"/>
      <c r="Q26" s="44"/>
      <c r="R26" s="44"/>
      <c r="S26" s="56"/>
      <c r="T26" s="56"/>
      <c r="U26" s="56"/>
      <c r="V26" s="56"/>
      <c r="W26" s="56"/>
    </row>
    <row r="27" spans="1:23" ht="15.75" customHeight="1" thickBot="1" x14ac:dyDescent="0.25">
      <c r="A27" s="68"/>
      <c r="B27" s="24" t="s">
        <v>289</v>
      </c>
      <c r="C27" s="25" t="s">
        <v>7</v>
      </c>
      <c r="D27" s="25" t="s">
        <v>7</v>
      </c>
      <c r="E27" s="25" t="s">
        <v>7</v>
      </c>
      <c r="F27" s="25" t="s">
        <v>7</v>
      </c>
      <c r="G27" s="25" t="s">
        <v>7</v>
      </c>
      <c r="H27" s="25" t="s">
        <v>7</v>
      </c>
      <c r="I27" s="25" t="s">
        <v>7</v>
      </c>
      <c r="J27" s="25" t="s">
        <v>7</v>
      </c>
      <c r="K27" s="25" t="s">
        <v>7</v>
      </c>
      <c r="L27" s="25" t="s">
        <v>7</v>
      </c>
      <c r="M27" s="25" t="s">
        <v>7</v>
      </c>
      <c r="N27" s="25" t="s">
        <v>7</v>
      </c>
      <c r="O27" s="84"/>
      <c r="P27" s="44"/>
      <c r="Q27" s="44"/>
      <c r="R27" s="44"/>
      <c r="S27" s="44"/>
      <c r="T27" s="44"/>
      <c r="U27" s="44"/>
      <c r="V27" s="56"/>
      <c r="W27" s="56"/>
    </row>
    <row r="28" spans="1:23" x14ac:dyDescent="0.2">
      <c r="A28" s="66" t="s">
        <v>290</v>
      </c>
      <c r="B28" s="22" t="s">
        <v>56</v>
      </c>
      <c r="C28" s="23" t="s">
        <v>7</v>
      </c>
      <c r="D28" s="23" t="s">
        <v>7</v>
      </c>
      <c r="E28" s="23" t="s">
        <v>7</v>
      </c>
      <c r="F28" s="23" t="s">
        <v>7</v>
      </c>
      <c r="G28" s="23" t="s">
        <v>7</v>
      </c>
      <c r="H28" s="23" t="s">
        <v>7</v>
      </c>
      <c r="I28" s="23" t="s">
        <v>7</v>
      </c>
      <c r="J28" s="23" t="s">
        <v>7</v>
      </c>
      <c r="K28" s="23" t="s">
        <v>7</v>
      </c>
      <c r="L28" s="23" t="s">
        <v>7</v>
      </c>
      <c r="M28" s="23" t="s">
        <v>7</v>
      </c>
      <c r="N28" s="23" t="s">
        <v>7</v>
      </c>
      <c r="O28" s="69" t="s">
        <v>277</v>
      </c>
      <c r="P28" s="78" t="s">
        <v>278</v>
      </c>
      <c r="Q28" s="55" t="s">
        <v>279</v>
      </c>
      <c r="R28" s="75" t="s">
        <v>280</v>
      </c>
      <c r="S28" s="70" t="s">
        <v>281</v>
      </c>
      <c r="T28" s="80" t="s">
        <v>282</v>
      </c>
      <c r="U28" s="85" t="s">
        <v>283</v>
      </c>
      <c r="V28" s="59" t="s">
        <v>284</v>
      </c>
      <c r="W28" s="65" t="s">
        <v>285</v>
      </c>
    </row>
    <row r="29" spans="1:23" x14ac:dyDescent="0.2">
      <c r="A29" s="67"/>
      <c r="B29" s="2" t="s">
        <v>57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62"/>
      <c r="P29" s="56"/>
      <c r="Q29" s="56"/>
      <c r="R29" s="56"/>
      <c r="S29" s="56"/>
      <c r="T29" s="56"/>
      <c r="U29" s="56"/>
      <c r="V29" s="56"/>
      <c r="W29" s="56"/>
    </row>
    <row r="30" spans="1:23" x14ac:dyDescent="0.2">
      <c r="A30" s="67"/>
      <c r="B30" s="2" t="s">
        <v>58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  <c r="M30" s="9" t="s">
        <v>7</v>
      </c>
      <c r="N30" s="9" t="s">
        <v>7</v>
      </c>
      <c r="O30" s="62"/>
      <c r="P30" s="56"/>
      <c r="Q30" s="56"/>
      <c r="R30" s="56"/>
      <c r="S30" s="56"/>
      <c r="T30" s="56"/>
      <c r="U30" s="56"/>
      <c r="V30" s="56"/>
      <c r="W30" s="56"/>
    </row>
    <row r="31" spans="1:23" x14ac:dyDescent="0.2">
      <c r="A31" s="67"/>
      <c r="B31" s="2" t="s">
        <v>59</v>
      </c>
      <c r="C31" s="9" t="s">
        <v>7</v>
      </c>
      <c r="D31" s="9" t="s">
        <v>7</v>
      </c>
      <c r="E31" s="9" t="s">
        <v>7</v>
      </c>
      <c r="F31" s="9" t="s">
        <v>7</v>
      </c>
      <c r="G31" s="9" t="s">
        <v>7</v>
      </c>
      <c r="H31" s="9" t="s">
        <v>7</v>
      </c>
      <c r="I31" s="9" t="s">
        <v>7</v>
      </c>
      <c r="J31" s="9" t="s">
        <v>7</v>
      </c>
      <c r="K31" s="9" t="s">
        <v>7</v>
      </c>
      <c r="L31" s="9" t="s">
        <v>7</v>
      </c>
      <c r="M31" s="9" t="s">
        <v>7</v>
      </c>
      <c r="N31" s="9" t="s">
        <v>7</v>
      </c>
      <c r="O31" s="63"/>
      <c r="P31" s="56"/>
      <c r="Q31" s="56"/>
      <c r="R31" s="56"/>
      <c r="S31" s="56"/>
      <c r="T31" s="56"/>
      <c r="U31" s="56"/>
      <c r="V31" s="56"/>
      <c r="W31" s="56"/>
    </row>
    <row r="32" spans="1:23" x14ac:dyDescent="0.2">
      <c r="A32" s="67"/>
      <c r="B32" s="2" t="s">
        <v>60</v>
      </c>
      <c r="C32" s="9" t="s">
        <v>7</v>
      </c>
      <c r="D32" s="9" t="s">
        <v>7</v>
      </c>
      <c r="E32" s="9" t="s">
        <v>7</v>
      </c>
      <c r="F32" s="9" t="s">
        <v>7</v>
      </c>
      <c r="G32" s="9" t="s">
        <v>7</v>
      </c>
      <c r="H32" s="9" t="s">
        <v>7</v>
      </c>
      <c r="I32" s="9" t="s">
        <v>7</v>
      </c>
      <c r="J32" s="9" t="s">
        <v>7</v>
      </c>
      <c r="K32" s="9" t="s">
        <v>7</v>
      </c>
      <c r="L32" s="9" t="s">
        <v>7</v>
      </c>
      <c r="M32" s="9" t="s">
        <v>7</v>
      </c>
      <c r="N32" s="9" t="s">
        <v>7</v>
      </c>
      <c r="O32" s="64"/>
      <c r="P32" s="44"/>
      <c r="Q32" s="56"/>
      <c r="R32" s="56"/>
      <c r="S32" s="56"/>
      <c r="T32" s="56"/>
      <c r="U32" s="56"/>
      <c r="V32" s="56"/>
      <c r="W32" s="56"/>
    </row>
    <row r="33" spans="1:23" x14ac:dyDescent="0.2">
      <c r="A33" s="67"/>
      <c r="B33" s="2" t="s">
        <v>61</v>
      </c>
      <c r="C33" s="9" t="s">
        <v>7</v>
      </c>
      <c r="D33" s="9" t="s">
        <v>7</v>
      </c>
      <c r="E33" s="9" t="s">
        <v>7</v>
      </c>
      <c r="F33" s="9" t="s">
        <v>7</v>
      </c>
      <c r="G33" s="9" t="s">
        <v>7</v>
      </c>
      <c r="H33" s="9" t="s">
        <v>7</v>
      </c>
      <c r="I33" s="9" t="s">
        <v>7</v>
      </c>
      <c r="J33" s="9" t="s">
        <v>7</v>
      </c>
      <c r="K33" s="9" t="s">
        <v>7</v>
      </c>
      <c r="L33" s="9" t="s">
        <v>7</v>
      </c>
      <c r="M33" s="9" t="s">
        <v>7</v>
      </c>
      <c r="N33" s="9" t="s">
        <v>7</v>
      </c>
      <c r="O33" s="64"/>
      <c r="P33" s="44"/>
      <c r="Q33" s="56"/>
      <c r="R33" s="56"/>
      <c r="S33" s="56"/>
      <c r="T33" s="56"/>
      <c r="U33" s="56"/>
      <c r="V33" s="56"/>
      <c r="W33" s="56"/>
    </row>
    <row r="34" spans="1:23" x14ac:dyDescent="0.2">
      <c r="A34" s="67"/>
      <c r="B34" s="2" t="s">
        <v>62</v>
      </c>
      <c r="C34" s="9" t="s">
        <v>7</v>
      </c>
      <c r="D34" s="9" t="s">
        <v>7</v>
      </c>
      <c r="E34" s="9" t="s">
        <v>7</v>
      </c>
      <c r="F34" s="9" t="s">
        <v>7</v>
      </c>
      <c r="G34" s="9" t="s">
        <v>7</v>
      </c>
      <c r="H34" s="9" t="s">
        <v>7</v>
      </c>
      <c r="I34" s="9" t="s">
        <v>7</v>
      </c>
      <c r="J34" s="9" t="s">
        <v>7</v>
      </c>
      <c r="K34" s="9" t="s">
        <v>7</v>
      </c>
      <c r="L34" s="9" t="s">
        <v>7</v>
      </c>
      <c r="M34" s="9" t="s">
        <v>7</v>
      </c>
      <c r="N34" s="9" t="s">
        <v>7</v>
      </c>
      <c r="O34" s="64"/>
      <c r="P34" s="44"/>
      <c r="Q34" s="44"/>
      <c r="R34" s="56"/>
      <c r="S34" s="56"/>
      <c r="T34" s="56"/>
      <c r="U34" s="56"/>
      <c r="V34" s="56"/>
      <c r="W34" s="56"/>
    </row>
    <row r="35" spans="1:23" x14ac:dyDescent="0.2">
      <c r="A35" s="67"/>
      <c r="B35" s="2" t="s">
        <v>63</v>
      </c>
      <c r="C35" s="9" t="s">
        <v>7</v>
      </c>
      <c r="D35" s="9" t="s">
        <v>7</v>
      </c>
      <c r="E35" s="9" t="s">
        <v>7</v>
      </c>
      <c r="F35" s="9" t="s">
        <v>7</v>
      </c>
      <c r="G35" s="9" t="s">
        <v>7</v>
      </c>
      <c r="H35" s="9" t="s">
        <v>7</v>
      </c>
      <c r="I35" s="9" t="s">
        <v>7</v>
      </c>
      <c r="J35" s="9" t="s">
        <v>7</v>
      </c>
      <c r="K35" s="9" t="s">
        <v>7</v>
      </c>
      <c r="L35" s="9" t="s">
        <v>7</v>
      </c>
      <c r="M35" s="9" t="s">
        <v>7</v>
      </c>
      <c r="N35" s="9" t="s">
        <v>7</v>
      </c>
      <c r="O35" s="64"/>
      <c r="P35" s="44"/>
      <c r="Q35" s="44"/>
      <c r="R35" s="56"/>
      <c r="S35" s="56"/>
      <c r="T35" s="56"/>
      <c r="U35" s="56"/>
      <c r="V35" s="56"/>
      <c r="W35" s="56"/>
    </row>
    <row r="36" spans="1:23" x14ac:dyDescent="0.2">
      <c r="A36" s="67"/>
      <c r="B36" s="2" t="s">
        <v>64</v>
      </c>
      <c r="C36" s="9" t="s">
        <v>7</v>
      </c>
      <c r="D36" s="9" t="s">
        <v>7</v>
      </c>
      <c r="E36" s="9" t="s">
        <v>7</v>
      </c>
      <c r="F36" s="9" t="s">
        <v>7</v>
      </c>
      <c r="G36" s="9" t="s">
        <v>7</v>
      </c>
      <c r="H36" s="9" t="s">
        <v>7</v>
      </c>
      <c r="I36" s="9" t="s">
        <v>7</v>
      </c>
      <c r="J36" s="9" t="s">
        <v>7</v>
      </c>
      <c r="K36" s="9" t="s">
        <v>7</v>
      </c>
      <c r="L36" s="9" t="s">
        <v>7</v>
      </c>
      <c r="M36" s="9" t="s">
        <v>7</v>
      </c>
      <c r="N36" s="9" t="s">
        <v>7</v>
      </c>
      <c r="O36" s="64"/>
      <c r="P36" s="44"/>
      <c r="Q36" s="44"/>
      <c r="R36" s="56"/>
      <c r="S36" s="56"/>
      <c r="T36" s="56"/>
      <c r="U36" s="56"/>
      <c r="V36" s="56"/>
      <c r="W36" s="56"/>
    </row>
    <row r="37" spans="1:23" ht="15.75" customHeight="1" thickBot="1" x14ac:dyDescent="0.25">
      <c r="A37" s="68"/>
      <c r="B37" s="24" t="s">
        <v>65</v>
      </c>
      <c r="C37" s="25" t="s">
        <v>7</v>
      </c>
      <c r="D37" s="25" t="s">
        <v>7</v>
      </c>
      <c r="E37" s="25" t="s">
        <v>7</v>
      </c>
      <c r="F37" s="25" t="s">
        <v>7</v>
      </c>
      <c r="G37" s="25" t="s">
        <v>7</v>
      </c>
      <c r="H37" s="25" t="s">
        <v>7</v>
      </c>
      <c r="I37" s="25" t="s">
        <v>7</v>
      </c>
      <c r="J37" s="25" t="s">
        <v>7</v>
      </c>
      <c r="K37" s="25" t="s">
        <v>7</v>
      </c>
      <c r="L37" s="25" t="s">
        <v>7</v>
      </c>
      <c r="M37" s="25" t="s">
        <v>7</v>
      </c>
      <c r="N37" s="25" t="s">
        <v>7</v>
      </c>
      <c r="O37" s="64"/>
      <c r="P37" s="44"/>
      <c r="Q37" s="44"/>
      <c r="R37" s="44"/>
      <c r="S37" s="44"/>
      <c r="T37" s="44"/>
      <c r="U37" s="56"/>
      <c r="V37" s="56"/>
      <c r="W37" s="56"/>
    </row>
    <row r="38" spans="1:23" x14ac:dyDescent="0.2">
      <c r="A38" s="66" t="s">
        <v>291</v>
      </c>
      <c r="B38" s="22" t="s">
        <v>66</v>
      </c>
      <c r="C38" s="23" t="s">
        <v>7</v>
      </c>
      <c r="D38" s="23" t="s">
        <v>7</v>
      </c>
      <c r="E38" s="23" t="s">
        <v>7</v>
      </c>
      <c r="F38" s="23" t="s">
        <v>7</v>
      </c>
      <c r="G38" s="23" t="s">
        <v>7</v>
      </c>
      <c r="H38" s="23" t="s">
        <v>7</v>
      </c>
      <c r="I38" s="23" t="s">
        <v>7</v>
      </c>
      <c r="J38" s="23" t="s">
        <v>7</v>
      </c>
      <c r="K38" s="23" t="s">
        <v>7</v>
      </c>
      <c r="L38" s="23" t="s">
        <v>7</v>
      </c>
      <c r="M38" s="23" t="s">
        <v>7</v>
      </c>
      <c r="N38" s="23" t="s">
        <v>7</v>
      </c>
      <c r="O38" s="64"/>
      <c r="P38" s="71"/>
      <c r="Q38" s="71"/>
      <c r="R38" s="81" t="s">
        <v>280</v>
      </c>
      <c r="S38" s="90" t="s">
        <v>281</v>
      </c>
      <c r="T38" s="80" t="s">
        <v>282</v>
      </c>
      <c r="U38" s="85" t="s">
        <v>283</v>
      </c>
      <c r="V38" s="59" t="s">
        <v>284</v>
      </c>
      <c r="W38" s="65" t="s">
        <v>285</v>
      </c>
    </row>
    <row r="39" spans="1:23" x14ac:dyDescent="0.2">
      <c r="A39" s="67"/>
      <c r="B39" s="2" t="s">
        <v>67</v>
      </c>
      <c r="C39" s="9" t="s">
        <v>7</v>
      </c>
      <c r="D39" s="9" t="s">
        <v>7</v>
      </c>
      <c r="E39" s="9" t="s">
        <v>7</v>
      </c>
      <c r="F39" s="9" t="s">
        <v>7</v>
      </c>
      <c r="G39" s="9" t="s">
        <v>7</v>
      </c>
      <c r="H39" s="9" t="s">
        <v>7</v>
      </c>
      <c r="I39" s="9" t="s">
        <v>7</v>
      </c>
      <c r="J39" s="9" t="s">
        <v>7</v>
      </c>
      <c r="K39" s="9" t="s">
        <v>7</v>
      </c>
      <c r="L39" s="9" t="s">
        <v>7</v>
      </c>
      <c r="M39" s="9" t="s">
        <v>7</v>
      </c>
      <c r="N39" s="9" t="s">
        <v>7</v>
      </c>
      <c r="O39" s="64"/>
      <c r="P39" s="51"/>
      <c r="Q39" s="51"/>
      <c r="R39" s="51"/>
      <c r="S39" s="62"/>
      <c r="T39" s="56"/>
      <c r="U39" s="56"/>
      <c r="V39" s="56"/>
      <c r="W39" s="56"/>
    </row>
    <row r="40" spans="1:23" x14ac:dyDescent="0.2">
      <c r="A40" s="67"/>
      <c r="B40" s="2" t="s">
        <v>68</v>
      </c>
      <c r="C40" s="9" t="s">
        <v>7</v>
      </c>
      <c r="D40" s="9" t="s">
        <v>7</v>
      </c>
      <c r="E40" s="9" t="s">
        <v>7</v>
      </c>
      <c r="F40" s="9" t="s">
        <v>7</v>
      </c>
      <c r="G40" s="9" t="s">
        <v>7</v>
      </c>
      <c r="H40" s="9" t="s">
        <v>7</v>
      </c>
      <c r="I40" s="9" t="s">
        <v>7</v>
      </c>
      <c r="J40" s="9" t="s">
        <v>7</v>
      </c>
      <c r="K40" s="9" t="s">
        <v>7</v>
      </c>
      <c r="L40" s="9" t="s">
        <v>7</v>
      </c>
      <c r="M40" s="9" t="s">
        <v>7</v>
      </c>
      <c r="N40" s="9" t="s">
        <v>7</v>
      </c>
      <c r="O40" s="64"/>
      <c r="P40" s="51"/>
      <c r="Q40" s="51"/>
      <c r="R40" s="51"/>
      <c r="S40" s="62"/>
      <c r="T40" s="56"/>
      <c r="U40" s="56"/>
      <c r="V40" s="56"/>
      <c r="W40" s="56"/>
    </row>
    <row r="41" spans="1:23" x14ac:dyDescent="0.2">
      <c r="A41" s="67"/>
      <c r="B41" s="2" t="s">
        <v>69</v>
      </c>
      <c r="C41" s="9" t="s">
        <v>7</v>
      </c>
      <c r="D41" s="9" t="s">
        <v>7</v>
      </c>
      <c r="E41" s="9" t="s">
        <v>7</v>
      </c>
      <c r="F41" s="9" t="s">
        <v>7</v>
      </c>
      <c r="G41" s="9" t="s">
        <v>7</v>
      </c>
      <c r="H41" s="9" t="s">
        <v>7</v>
      </c>
      <c r="I41" s="9" t="s">
        <v>7</v>
      </c>
      <c r="J41" s="9" t="s">
        <v>7</v>
      </c>
      <c r="K41" s="9" t="s">
        <v>7</v>
      </c>
      <c r="L41" s="9" t="s">
        <v>7</v>
      </c>
      <c r="M41" s="9" t="s">
        <v>7</v>
      </c>
      <c r="N41" s="9" t="s">
        <v>7</v>
      </c>
      <c r="O41" s="64"/>
      <c r="P41" s="51"/>
      <c r="Q41" s="51"/>
      <c r="R41" s="44"/>
      <c r="S41" s="62"/>
      <c r="T41" s="56"/>
      <c r="U41" s="56"/>
      <c r="V41" s="56"/>
      <c r="W41" s="56"/>
    </row>
    <row r="42" spans="1:23" x14ac:dyDescent="0.2">
      <c r="A42" s="67"/>
      <c r="B42" s="2" t="s">
        <v>70</v>
      </c>
      <c r="C42" s="9" t="s">
        <v>7</v>
      </c>
      <c r="D42" s="9" t="s">
        <v>7</v>
      </c>
      <c r="E42" s="9" t="s">
        <v>7</v>
      </c>
      <c r="F42" s="9" t="s">
        <v>7</v>
      </c>
      <c r="G42" s="9" t="s">
        <v>7</v>
      </c>
      <c r="H42" s="9" t="s">
        <v>7</v>
      </c>
      <c r="I42" s="9" t="s">
        <v>7</v>
      </c>
      <c r="J42" s="9" t="s">
        <v>7</v>
      </c>
      <c r="K42" s="9" t="s">
        <v>7</v>
      </c>
      <c r="L42" s="9" t="s">
        <v>7</v>
      </c>
      <c r="M42" s="9" t="s">
        <v>7</v>
      </c>
      <c r="N42" s="9" t="s">
        <v>7</v>
      </c>
      <c r="O42" s="64"/>
      <c r="P42" s="44"/>
      <c r="Q42" s="51"/>
      <c r="R42" s="44"/>
      <c r="S42" s="62"/>
      <c r="T42" s="56"/>
      <c r="U42" s="56"/>
      <c r="V42" s="56"/>
      <c r="W42" s="56"/>
    </row>
    <row r="43" spans="1:23" x14ac:dyDescent="0.2">
      <c r="A43" s="67"/>
      <c r="B43" s="2" t="s">
        <v>71</v>
      </c>
      <c r="C43" s="9" t="s">
        <v>7</v>
      </c>
      <c r="D43" s="9" t="s">
        <v>7</v>
      </c>
      <c r="E43" s="9" t="s">
        <v>7</v>
      </c>
      <c r="F43" s="9" t="s">
        <v>7</v>
      </c>
      <c r="G43" s="9" t="s">
        <v>7</v>
      </c>
      <c r="H43" s="9" t="s">
        <v>7</v>
      </c>
      <c r="I43" s="9" t="s">
        <v>7</v>
      </c>
      <c r="J43" s="9" t="s">
        <v>7</v>
      </c>
      <c r="K43" s="9" t="s">
        <v>7</v>
      </c>
      <c r="L43" s="9" t="s">
        <v>7</v>
      </c>
      <c r="M43" s="9" t="s">
        <v>7</v>
      </c>
      <c r="N43" s="9" t="s">
        <v>7</v>
      </c>
      <c r="O43" s="64"/>
      <c r="P43" s="44"/>
      <c r="Q43" s="51"/>
      <c r="R43" s="44"/>
      <c r="S43" s="44"/>
      <c r="T43" s="56"/>
      <c r="U43" s="56"/>
      <c r="V43" s="56"/>
      <c r="W43" s="56"/>
    </row>
    <row r="44" spans="1:23" x14ac:dyDescent="0.2">
      <c r="A44" s="67"/>
      <c r="B44" s="2" t="s">
        <v>72</v>
      </c>
      <c r="C44" s="9" t="s">
        <v>7</v>
      </c>
      <c r="D44" s="9" t="s">
        <v>7</v>
      </c>
      <c r="E44" s="9" t="s">
        <v>7</v>
      </c>
      <c r="F44" s="9" t="s">
        <v>7</v>
      </c>
      <c r="G44" s="9" t="s">
        <v>7</v>
      </c>
      <c r="H44" s="9" t="s">
        <v>7</v>
      </c>
      <c r="I44" s="9" t="s">
        <v>7</v>
      </c>
      <c r="J44" s="9" t="s">
        <v>7</v>
      </c>
      <c r="K44" s="9" t="s">
        <v>7</v>
      </c>
      <c r="L44" s="9" t="s">
        <v>7</v>
      </c>
      <c r="M44" s="9" t="s">
        <v>7</v>
      </c>
      <c r="N44" s="9" t="s">
        <v>7</v>
      </c>
      <c r="O44" s="64"/>
      <c r="P44" s="44"/>
      <c r="Q44" s="44"/>
      <c r="R44" s="44"/>
      <c r="S44" s="44"/>
      <c r="T44" s="56"/>
      <c r="U44" s="56"/>
      <c r="V44" s="56"/>
      <c r="W44" s="56"/>
    </row>
    <row r="45" spans="1:23" x14ac:dyDescent="0.2">
      <c r="A45" s="67"/>
      <c r="B45" s="2" t="s">
        <v>73</v>
      </c>
      <c r="C45" s="9" t="s">
        <v>7</v>
      </c>
      <c r="D45" s="9" t="s">
        <v>7</v>
      </c>
      <c r="E45" s="9" t="s">
        <v>7</v>
      </c>
      <c r="F45" s="9" t="s">
        <v>7</v>
      </c>
      <c r="G45" s="9" t="s">
        <v>7</v>
      </c>
      <c r="H45" s="9" t="s">
        <v>7</v>
      </c>
      <c r="I45" s="9" t="s">
        <v>7</v>
      </c>
      <c r="J45" s="9" t="s">
        <v>7</v>
      </c>
      <c r="K45" s="9" t="s">
        <v>7</v>
      </c>
      <c r="L45" s="9" t="s">
        <v>7</v>
      </c>
      <c r="M45" s="9" t="s">
        <v>7</v>
      </c>
      <c r="N45" s="9" t="s">
        <v>7</v>
      </c>
      <c r="O45" s="64"/>
      <c r="P45" s="44"/>
      <c r="Q45" s="44"/>
      <c r="R45" s="44"/>
      <c r="S45" s="44"/>
      <c r="T45" s="56"/>
      <c r="U45" s="56"/>
      <c r="V45" s="56"/>
      <c r="W45" s="56"/>
    </row>
    <row r="46" spans="1:23" ht="15.75" customHeight="1" thickBot="1" x14ac:dyDescent="0.25">
      <c r="A46" s="68"/>
      <c r="B46" s="24" t="s">
        <v>74</v>
      </c>
      <c r="C46" s="25" t="s">
        <v>7</v>
      </c>
      <c r="D46" s="25" t="s">
        <v>7</v>
      </c>
      <c r="E46" s="25" t="s">
        <v>7</v>
      </c>
      <c r="F46" s="25" t="s">
        <v>7</v>
      </c>
      <c r="G46" s="25" t="s">
        <v>7</v>
      </c>
      <c r="H46" s="25" t="s">
        <v>7</v>
      </c>
      <c r="I46" s="25" t="s">
        <v>7</v>
      </c>
      <c r="J46" s="25" t="s">
        <v>7</v>
      </c>
      <c r="K46" s="25" t="s">
        <v>7</v>
      </c>
      <c r="L46" s="25" t="s">
        <v>7</v>
      </c>
      <c r="M46" s="25" t="s">
        <v>7</v>
      </c>
      <c r="N46" s="25" t="s">
        <v>7</v>
      </c>
      <c r="O46" s="64"/>
      <c r="P46" s="44"/>
      <c r="Q46" s="44"/>
      <c r="R46" s="44"/>
      <c r="S46" s="44"/>
      <c r="T46" s="56"/>
      <c r="U46" s="56"/>
      <c r="V46" s="56"/>
      <c r="W46" s="56"/>
    </row>
    <row r="47" spans="1:23" ht="15.75" customHeight="1" thickBot="1" x14ac:dyDescent="0.25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44"/>
      <c r="P47" s="44"/>
      <c r="Q47" s="44"/>
      <c r="R47" s="44"/>
      <c r="S47" s="44"/>
      <c r="T47" s="44"/>
      <c r="U47" s="44"/>
      <c r="V47" s="44"/>
      <c r="W47" s="44"/>
    </row>
    <row r="48" spans="1:23" ht="15.75" customHeight="1" thickBot="1" x14ac:dyDescent="0.25">
      <c r="A48" s="60" t="s">
        <v>292</v>
      </c>
      <c r="B48" s="6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62"/>
    </row>
    <row r="49" spans="1:23" x14ac:dyDescent="0.2">
      <c r="A49" s="66" t="s">
        <v>16</v>
      </c>
      <c r="B49" s="28" t="s">
        <v>75</v>
      </c>
      <c r="C49" s="23" t="s">
        <v>7</v>
      </c>
      <c r="D49" s="23" t="s">
        <v>7</v>
      </c>
      <c r="E49" s="23" t="s">
        <v>7</v>
      </c>
      <c r="F49" s="23" t="s">
        <v>7</v>
      </c>
      <c r="G49" s="23" t="s">
        <v>7</v>
      </c>
      <c r="H49" s="23" t="s">
        <v>7</v>
      </c>
      <c r="I49" s="23" t="s">
        <v>7</v>
      </c>
      <c r="J49" s="23" t="s">
        <v>7</v>
      </c>
      <c r="K49" s="23" t="s">
        <v>7</v>
      </c>
      <c r="L49" s="23" t="s">
        <v>7</v>
      </c>
      <c r="M49" s="23" t="s">
        <v>7</v>
      </c>
      <c r="N49" s="23" t="s">
        <v>7</v>
      </c>
      <c r="O49" s="79" t="s">
        <v>277</v>
      </c>
      <c r="P49" s="73" t="s">
        <v>278</v>
      </c>
      <c r="Q49" s="72" t="s">
        <v>279</v>
      </c>
      <c r="R49" s="81" t="s">
        <v>280</v>
      </c>
      <c r="S49" s="58" t="s">
        <v>281</v>
      </c>
      <c r="T49" s="74" t="s">
        <v>282</v>
      </c>
      <c r="U49" s="57" t="s">
        <v>283</v>
      </c>
      <c r="V49" s="53" t="s">
        <v>284</v>
      </c>
      <c r="W49" s="54" t="s">
        <v>285</v>
      </c>
    </row>
    <row r="50" spans="1:23" x14ac:dyDescent="0.2">
      <c r="A50" s="67"/>
      <c r="B50" s="3" t="s">
        <v>76</v>
      </c>
      <c r="C50" s="9" t="s">
        <v>7</v>
      </c>
      <c r="D50" s="9" t="s">
        <v>7</v>
      </c>
      <c r="E50" s="9" t="s">
        <v>7</v>
      </c>
      <c r="F50" s="9" t="s">
        <v>7</v>
      </c>
      <c r="G50" s="9" t="s">
        <v>7</v>
      </c>
      <c r="H50" s="9" t="s">
        <v>7</v>
      </c>
      <c r="I50" s="9" t="s">
        <v>7</v>
      </c>
      <c r="J50" s="9" t="s">
        <v>7</v>
      </c>
      <c r="K50" s="9" t="s">
        <v>7</v>
      </c>
      <c r="L50" s="9" t="s">
        <v>7</v>
      </c>
      <c r="M50" s="9" t="s">
        <v>7</v>
      </c>
      <c r="N50" s="9" t="s">
        <v>7</v>
      </c>
      <c r="O50" s="51"/>
      <c r="P50" s="62"/>
      <c r="Q50" s="51"/>
      <c r="R50" s="51"/>
      <c r="S50" s="51"/>
      <c r="T50" s="51"/>
      <c r="U50" s="51"/>
      <c r="V50" s="51"/>
      <c r="W50" s="51"/>
    </row>
    <row r="51" spans="1:23" x14ac:dyDescent="0.2">
      <c r="A51" s="67"/>
      <c r="B51" s="3" t="s">
        <v>77</v>
      </c>
      <c r="C51" s="9" t="s">
        <v>7</v>
      </c>
      <c r="D51" s="9" t="s">
        <v>7</v>
      </c>
      <c r="E51" s="9" t="s">
        <v>7</v>
      </c>
      <c r="F51" s="9" t="s">
        <v>7</v>
      </c>
      <c r="G51" s="9" t="s">
        <v>7</v>
      </c>
      <c r="H51" s="9" t="s">
        <v>7</v>
      </c>
      <c r="I51" s="9" t="s">
        <v>7</v>
      </c>
      <c r="J51" s="9" t="s">
        <v>7</v>
      </c>
      <c r="K51" s="9" t="s">
        <v>7</v>
      </c>
      <c r="L51" s="9" t="s">
        <v>7</v>
      </c>
      <c r="M51" s="9" t="s">
        <v>7</v>
      </c>
      <c r="N51" s="9" t="s">
        <v>7</v>
      </c>
      <c r="O51" s="51"/>
      <c r="P51" s="62"/>
      <c r="Q51" s="51"/>
      <c r="R51" s="51"/>
      <c r="S51" s="51"/>
      <c r="T51" s="51"/>
      <c r="U51" s="51"/>
      <c r="V51" s="51"/>
      <c r="W51" s="51"/>
    </row>
    <row r="52" spans="1:23" x14ac:dyDescent="0.2">
      <c r="A52" s="67"/>
      <c r="B52" s="3" t="s">
        <v>78</v>
      </c>
      <c r="C52" s="9" t="s">
        <v>7</v>
      </c>
      <c r="D52" s="9" t="s">
        <v>7</v>
      </c>
      <c r="E52" s="9" t="s">
        <v>7</v>
      </c>
      <c r="F52" s="9" t="s">
        <v>7</v>
      </c>
      <c r="G52" s="9" t="s">
        <v>7</v>
      </c>
      <c r="H52" s="9" t="s">
        <v>7</v>
      </c>
      <c r="I52" s="9" t="s">
        <v>7</v>
      </c>
      <c r="J52" s="9" t="s">
        <v>7</v>
      </c>
      <c r="K52" s="9" t="s">
        <v>7</v>
      </c>
      <c r="L52" s="9" t="s">
        <v>7</v>
      </c>
      <c r="M52" s="9" t="s">
        <v>7</v>
      </c>
      <c r="N52" s="9" t="s">
        <v>7</v>
      </c>
      <c r="O52" s="51"/>
      <c r="P52" s="62"/>
      <c r="Q52" s="51"/>
      <c r="R52" s="51"/>
      <c r="S52" s="51"/>
      <c r="T52" s="51"/>
      <c r="U52" s="51"/>
      <c r="V52" s="51"/>
      <c r="W52" s="51"/>
    </row>
    <row r="53" spans="1:23" x14ac:dyDescent="0.2">
      <c r="A53" s="67"/>
      <c r="B53" s="3" t="s">
        <v>79</v>
      </c>
      <c r="C53" s="9" t="s">
        <v>7</v>
      </c>
      <c r="D53" s="9" t="s">
        <v>7</v>
      </c>
      <c r="E53" s="9" t="s">
        <v>7</v>
      </c>
      <c r="F53" s="9" t="s">
        <v>7</v>
      </c>
      <c r="G53" s="9" t="s">
        <v>7</v>
      </c>
      <c r="H53" s="9" t="s">
        <v>7</v>
      </c>
      <c r="I53" s="9" t="s">
        <v>7</v>
      </c>
      <c r="J53" s="9" t="s">
        <v>7</v>
      </c>
      <c r="K53" s="9" t="s">
        <v>7</v>
      </c>
      <c r="L53" s="9" t="s">
        <v>7</v>
      </c>
      <c r="M53" s="9" t="s">
        <v>7</v>
      </c>
      <c r="N53" s="9" t="s">
        <v>7</v>
      </c>
      <c r="O53" s="51"/>
      <c r="P53" s="62"/>
      <c r="Q53" s="51"/>
      <c r="R53" s="51"/>
      <c r="S53" s="51"/>
      <c r="T53" s="51"/>
      <c r="U53" s="51"/>
      <c r="V53" s="51"/>
      <c r="W53" s="51"/>
    </row>
    <row r="54" spans="1:23" x14ac:dyDescent="0.2">
      <c r="A54" s="67"/>
      <c r="B54" s="3" t="s">
        <v>80</v>
      </c>
      <c r="C54" s="9" t="s">
        <v>7</v>
      </c>
      <c r="D54" s="9" t="s">
        <v>7</v>
      </c>
      <c r="E54" s="9" t="s">
        <v>7</v>
      </c>
      <c r="F54" s="9" t="s">
        <v>7</v>
      </c>
      <c r="G54" s="9" t="s">
        <v>7</v>
      </c>
      <c r="H54" s="9" t="s">
        <v>7</v>
      </c>
      <c r="I54" s="9" t="s">
        <v>7</v>
      </c>
      <c r="J54" s="9" t="s">
        <v>7</v>
      </c>
      <c r="K54" s="9" t="s">
        <v>7</v>
      </c>
      <c r="L54" s="9" t="s">
        <v>7</v>
      </c>
      <c r="M54" s="9" t="s">
        <v>7</v>
      </c>
      <c r="N54" s="9" t="s">
        <v>7</v>
      </c>
      <c r="O54" s="51"/>
      <c r="P54" s="62"/>
      <c r="Q54" s="51"/>
      <c r="R54" s="51"/>
      <c r="S54" s="51"/>
      <c r="T54" s="51"/>
      <c r="U54" s="51"/>
      <c r="V54" s="51"/>
      <c r="W54" s="51"/>
    </row>
    <row r="55" spans="1:23" x14ac:dyDescent="0.2">
      <c r="A55" s="67"/>
      <c r="B55" s="3" t="s">
        <v>81</v>
      </c>
      <c r="C55" s="9" t="s">
        <v>7</v>
      </c>
      <c r="D55" s="9" t="s">
        <v>7</v>
      </c>
      <c r="E55" s="9" t="s">
        <v>7</v>
      </c>
      <c r="F55" s="9" t="s">
        <v>7</v>
      </c>
      <c r="G55" s="9" t="s">
        <v>7</v>
      </c>
      <c r="H55" s="9" t="s">
        <v>7</v>
      </c>
      <c r="I55" s="9" t="s">
        <v>7</v>
      </c>
      <c r="J55" s="9" t="s">
        <v>7</v>
      </c>
      <c r="K55" s="9" t="s">
        <v>7</v>
      </c>
      <c r="L55" s="9" t="s">
        <v>7</v>
      </c>
      <c r="M55" s="9" t="s">
        <v>7</v>
      </c>
      <c r="N55" s="9" t="s">
        <v>7</v>
      </c>
      <c r="O55" s="51"/>
      <c r="P55" s="62"/>
      <c r="Q55" s="51"/>
      <c r="R55" s="51"/>
      <c r="S55" s="51"/>
      <c r="T55" s="51"/>
      <c r="U55" s="51"/>
      <c r="V55" s="51"/>
      <c r="W55" s="51"/>
    </row>
    <row r="56" spans="1:23" x14ac:dyDescent="0.2">
      <c r="A56" s="67"/>
      <c r="B56" s="3" t="s">
        <v>82</v>
      </c>
      <c r="C56" s="9" t="s">
        <v>7</v>
      </c>
      <c r="D56" s="9" t="s">
        <v>7</v>
      </c>
      <c r="E56" s="9" t="s">
        <v>7</v>
      </c>
      <c r="F56" s="9" t="s">
        <v>7</v>
      </c>
      <c r="G56" s="9" t="s">
        <v>7</v>
      </c>
      <c r="H56" s="9" t="s">
        <v>7</v>
      </c>
      <c r="I56" s="9" t="s">
        <v>7</v>
      </c>
      <c r="J56" s="9" t="s">
        <v>7</v>
      </c>
      <c r="K56" s="9" t="s">
        <v>7</v>
      </c>
      <c r="L56" s="9" t="s">
        <v>7</v>
      </c>
      <c r="M56" s="9" t="s">
        <v>7</v>
      </c>
      <c r="N56" s="9" t="s">
        <v>7</v>
      </c>
      <c r="O56" s="63"/>
      <c r="P56" s="62"/>
      <c r="Q56" s="51"/>
      <c r="R56" s="51"/>
      <c r="S56" s="51"/>
      <c r="T56" s="51"/>
      <c r="U56" s="51"/>
      <c r="V56" s="51"/>
      <c r="W56" s="51"/>
    </row>
    <row r="57" spans="1:23" x14ac:dyDescent="0.2">
      <c r="A57" s="67"/>
      <c r="B57" s="3" t="s">
        <v>83</v>
      </c>
      <c r="C57" s="9" t="s">
        <v>7</v>
      </c>
      <c r="D57" s="9" t="s">
        <v>7</v>
      </c>
      <c r="E57" s="9" t="s">
        <v>7</v>
      </c>
      <c r="F57" s="9" t="s">
        <v>7</v>
      </c>
      <c r="G57" s="9" t="s">
        <v>7</v>
      </c>
      <c r="H57" s="9" t="s">
        <v>7</v>
      </c>
      <c r="I57" s="9" t="s">
        <v>7</v>
      </c>
      <c r="J57" s="9" t="s">
        <v>7</v>
      </c>
      <c r="K57" s="9" t="s">
        <v>7</v>
      </c>
      <c r="L57" s="9" t="s">
        <v>7</v>
      </c>
      <c r="M57" s="9" t="s">
        <v>7</v>
      </c>
      <c r="N57" s="9" t="s">
        <v>7</v>
      </c>
      <c r="O57" s="64"/>
      <c r="P57" s="62"/>
      <c r="Q57" s="51"/>
      <c r="R57" s="51"/>
      <c r="S57" s="51"/>
      <c r="T57" s="51"/>
      <c r="U57" s="51"/>
      <c r="V57" s="51"/>
      <c r="W57" s="51"/>
    </row>
    <row r="58" spans="1:23" x14ac:dyDescent="0.2">
      <c r="A58" s="67"/>
      <c r="B58" s="3" t="s">
        <v>84</v>
      </c>
      <c r="C58" s="9" t="s">
        <v>7</v>
      </c>
      <c r="D58" s="9" t="s">
        <v>7</v>
      </c>
      <c r="E58" s="9" t="s">
        <v>7</v>
      </c>
      <c r="F58" s="9" t="s">
        <v>7</v>
      </c>
      <c r="G58" s="9" t="s">
        <v>7</v>
      </c>
      <c r="H58" s="9" t="s">
        <v>7</v>
      </c>
      <c r="I58" s="9" t="s">
        <v>7</v>
      </c>
      <c r="J58" s="9" t="s">
        <v>7</v>
      </c>
      <c r="K58" s="9" t="s">
        <v>7</v>
      </c>
      <c r="L58" s="9" t="s">
        <v>7</v>
      </c>
      <c r="M58" s="9" t="s">
        <v>7</v>
      </c>
      <c r="N58" s="9" t="s">
        <v>7</v>
      </c>
      <c r="O58" s="64"/>
      <c r="P58" s="62"/>
      <c r="Q58" s="51"/>
      <c r="R58" s="51"/>
      <c r="S58" s="51"/>
      <c r="T58" s="51"/>
      <c r="U58" s="51"/>
      <c r="V58" s="51"/>
      <c r="W58" s="51"/>
    </row>
    <row r="59" spans="1:23" x14ac:dyDescent="0.2">
      <c r="A59" s="67"/>
      <c r="B59" s="3" t="s">
        <v>85</v>
      </c>
      <c r="C59" s="9" t="s">
        <v>7</v>
      </c>
      <c r="D59" s="9" t="s">
        <v>7</v>
      </c>
      <c r="E59" s="9" t="s">
        <v>7</v>
      </c>
      <c r="F59" s="9" t="s">
        <v>7</v>
      </c>
      <c r="G59" s="9" t="s">
        <v>7</v>
      </c>
      <c r="H59" s="9" t="s">
        <v>7</v>
      </c>
      <c r="I59" s="9" t="s">
        <v>7</v>
      </c>
      <c r="J59" s="9" t="s">
        <v>7</v>
      </c>
      <c r="K59" s="9" t="s">
        <v>7</v>
      </c>
      <c r="L59" s="9" t="s">
        <v>7</v>
      </c>
      <c r="M59" s="9" t="s">
        <v>7</v>
      </c>
      <c r="N59" s="9" t="s">
        <v>7</v>
      </c>
      <c r="O59" s="64"/>
      <c r="P59" s="62"/>
      <c r="Q59" s="51"/>
      <c r="R59" s="51"/>
      <c r="S59" s="51"/>
      <c r="T59" s="51"/>
      <c r="U59" s="51"/>
      <c r="V59" s="51"/>
      <c r="W59" s="51"/>
    </row>
    <row r="60" spans="1:23" x14ac:dyDescent="0.2">
      <c r="A60" s="67"/>
      <c r="B60" s="3" t="s">
        <v>86</v>
      </c>
      <c r="C60" s="9" t="s">
        <v>7</v>
      </c>
      <c r="D60" s="9" t="s">
        <v>7</v>
      </c>
      <c r="E60" s="9" t="s">
        <v>7</v>
      </c>
      <c r="F60" s="9" t="s">
        <v>7</v>
      </c>
      <c r="G60" s="9" t="s">
        <v>7</v>
      </c>
      <c r="H60" s="9" t="s">
        <v>7</v>
      </c>
      <c r="I60" s="9" t="s">
        <v>7</v>
      </c>
      <c r="J60" s="9" t="s">
        <v>7</v>
      </c>
      <c r="K60" s="9" t="s">
        <v>7</v>
      </c>
      <c r="L60" s="9" t="s">
        <v>7</v>
      </c>
      <c r="M60" s="9" t="s">
        <v>7</v>
      </c>
      <c r="N60" s="9" t="s">
        <v>7</v>
      </c>
      <c r="O60" s="64"/>
      <c r="P60" s="62"/>
      <c r="Q60" s="51"/>
      <c r="R60" s="51"/>
      <c r="S60" s="51"/>
      <c r="T60" s="51"/>
      <c r="U60" s="51"/>
      <c r="V60" s="51"/>
      <c r="W60" s="51"/>
    </row>
    <row r="61" spans="1:23" x14ac:dyDescent="0.2">
      <c r="A61" s="67"/>
      <c r="B61" s="3" t="s">
        <v>87</v>
      </c>
      <c r="C61" s="9" t="s">
        <v>7</v>
      </c>
      <c r="D61" s="9" t="s">
        <v>7</v>
      </c>
      <c r="E61" s="9" t="s">
        <v>7</v>
      </c>
      <c r="F61" s="9" t="s">
        <v>7</v>
      </c>
      <c r="G61" s="9" t="s">
        <v>7</v>
      </c>
      <c r="H61" s="9" t="s">
        <v>7</v>
      </c>
      <c r="I61" s="9" t="s">
        <v>7</v>
      </c>
      <c r="J61" s="9" t="s">
        <v>7</v>
      </c>
      <c r="K61" s="9" t="s">
        <v>7</v>
      </c>
      <c r="L61" s="9" t="s">
        <v>7</v>
      </c>
      <c r="M61" s="9" t="s">
        <v>7</v>
      </c>
      <c r="N61" s="9" t="s">
        <v>7</v>
      </c>
      <c r="O61" s="64"/>
      <c r="P61" s="44"/>
      <c r="Q61" s="51"/>
      <c r="R61" s="51"/>
      <c r="S61" s="51"/>
      <c r="T61" s="51"/>
      <c r="U61" s="51"/>
      <c r="V61" s="51"/>
      <c r="W61" s="51"/>
    </row>
    <row r="62" spans="1:23" x14ac:dyDescent="0.2">
      <c r="A62" s="67"/>
      <c r="B62" s="3" t="s">
        <v>293</v>
      </c>
      <c r="C62" s="9" t="s">
        <v>7</v>
      </c>
      <c r="D62" s="9" t="s">
        <v>7</v>
      </c>
      <c r="E62" s="9" t="s">
        <v>7</v>
      </c>
      <c r="F62" s="9" t="s">
        <v>7</v>
      </c>
      <c r="G62" s="9" t="s">
        <v>7</v>
      </c>
      <c r="H62" s="9" t="s">
        <v>7</v>
      </c>
      <c r="I62" s="9" t="s">
        <v>7</v>
      </c>
      <c r="J62" s="9" t="s">
        <v>7</v>
      </c>
      <c r="K62" s="9" t="s">
        <v>7</v>
      </c>
      <c r="L62" s="9" t="s">
        <v>7</v>
      </c>
      <c r="M62" s="9" t="s">
        <v>7</v>
      </c>
      <c r="N62" s="9" t="s">
        <v>7</v>
      </c>
      <c r="O62" s="64"/>
      <c r="P62" s="44"/>
      <c r="Q62" s="51"/>
      <c r="R62" s="51"/>
      <c r="S62" s="51"/>
      <c r="T62" s="51"/>
      <c r="U62" s="51"/>
      <c r="V62" s="51"/>
      <c r="W62" s="51"/>
    </row>
    <row r="63" spans="1:23" x14ac:dyDescent="0.2">
      <c r="A63" s="67"/>
      <c r="B63" s="3" t="s">
        <v>89</v>
      </c>
      <c r="C63" s="9" t="s">
        <v>7</v>
      </c>
      <c r="D63" s="9" t="s">
        <v>7</v>
      </c>
      <c r="E63" s="9" t="s">
        <v>7</v>
      </c>
      <c r="F63" s="9" t="s">
        <v>7</v>
      </c>
      <c r="G63" s="9" t="s">
        <v>7</v>
      </c>
      <c r="H63" s="9" t="s">
        <v>7</v>
      </c>
      <c r="I63" s="9" t="s">
        <v>7</v>
      </c>
      <c r="J63" s="9" t="s">
        <v>7</v>
      </c>
      <c r="K63" s="9" t="s">
        <v>7</v>
      </c>
      <c r="L63" s="9" t="s">
        <v>7</v>
      </c>
      <c r="M63" s="9" t="s">
        <v>7</v>
      </c>
      <c r="N63" s="9" t="s">
        <v>7</v>
      </c>
      <c r="O63" s="64"/>
      <c r="P63" s="45"/>
      <c r="Q63" s="51"/>
      <c r="R63" s="51"/>
      <c r="S63" s="51"/>
      <c r="T63" s="51"/>
      <c r="U63" s="51"/>
      <c r="V63" s="51"/>
      <c r="W63" s="51"/>
    </row>
    <row r="64" spans="1:23" ht="15.75" customHeight="1" thickBot="1" x14ac:dyDescent="0.25">
      <c r="A64" s="68"/>
      <c r="B64" s="29" t="s">
        <v>90</v>
      </c>
      <c r="C64" s="25" t="s">
        <v>7</v>
      </c>
      <c r="D64" s="25" t="s">
        <v>7</v>
      </c>
      <c r="E64" s="25" t="s">
        <v>7</v>
      </c>
      <c r="F64" s="25" t="s">
        <v>7</v>
      </c>
      <c r="G64" s="25" t="s">
        <v>7</v>
      </c>
      <c r="H64" s="25" t="s">
        <v>7</v>
      </c>
      <c r="I64" s="25" t="s">
        <v>7</v>
      </c>
      <c r="J64" s="25" t="s">
        <v>7</v>
      </c>
      <c r="K64" s="25" t="s">
        <v>7</v>
      </c>
      <c r="L64" s="25" t="s">
        <v>7</v>
      </c>
      <c r="M64" s="25" t="s">
        <v>7</v>
      </c>
      <c r="N64" s="25" t="s">
        <v>7</v>
      </c>
      <c r="O64" s="64"/>
      <c r="P64" s="45"/>
      <c r="Q64" s="51"/>
      <c r="R64" s="51"/>
      <c r="S64" s="51"/>
      <c r="T64" s="51"/>
      <c r="U64" s="51"/>
      <c r="V64" s="51"/>
      <c r="W64" s="51"/>
    </row>
    <row r="65" spans="1:23" x14ac:dyDescent="0.2">
      <c r="A65" s="66" t="s">
        <v>17</v>
      </c>
      <c r="B65" s="28" t="s">
        <v>91</v>
      </c>
      <c r="C65" s="23" t="s">
        <v>7</v>
      </c>
      <c r="D65" s="23" t="s">
        <v>7</v>
      </c>
      <c r="E65" s="23" t="s">
        <v>7</v>
      </c>
      <c r="F65" s="23" t="s">
        <v>7</v>
      </c>
      <c r="G65" s="23" t="s">
        <v>7</v>
      </c>
      <c r="H65" s="23" t="s">
        <v>7</v>
      </c>
      <c r="I65" s="23" t="s">
        <v>7</v>
      </c>
      <c r="J65" s="23" t="s">
        <v>7</v>
      </c>
      <c r="K65" s="23" t="s">
        <v>7</v>
      </c>
      <c r="L65" s="23" t="s">
        <v>7</v>
      </c>
      <c r="M65" s="23" t="s">
        <v>7</v>
      </c>
      <c r="N65" s="23" t="s">
        <v>7</v>
      </c>
      <c r="O65" s="63"/>
      <c r="P65" s="71"/>
      <c r="Q65" s="71"/>
      <c r="R65" s="81" t="s">
        <v>280</v>
      </c>
      <c r="S65" s="58" t="s">
        <v>281</v>
      </c>
      <c r="T65" s="74" t="s">
        <v>282</v>
      </c>
      <c r="U65" s="57" t="s">
        <v>283</v>
      </c>
      <c r="V65" s="53" t="s">
        <v>284</v>
      </c>
      <c r="W65" s="54" t="s">
        <v>285</v>
      </c>
    </row>
    <row r="66" spans="1:23" x14ac:dyDescent="0.2">
      <c r="A66" s="67"/>
      <c r="B66" s="3" t="s">
        <v>92</v>
      </c>
      <c r="C66" s="9" t="s">
        <v>7</v>
      </c>
      <c r="D66" s="9" t="s">
        <v>7</v>
      </c>
      <c r="E66" s="9" t="s">
        <v>7</v>
      </c>
      <c r="F66" s="9" t="s">
        <v>7</v>
      </c>
      <c r="G66" s="9" t="s">
        <v>7</v>
      </c>
      <c r="H66" s="9" t="s">
        <v>7</v>
      </c>
      <c r="I66" s="9" t="s">
        <v>7</v>
      </c>
      <c r="J66" s="9" t="s">
        <v>7</v>
      </c>
      <c r="K66" s="9" t="s">
        <v>7</v>
      </c>
      <c r="L66" s="9" t="s">
        <v>7</v>
      </c>
      <c r="M66" s="9" t="s">
        <v>7</v>
      </c>
      <c r="N66" s="9" t="s">
        <v>7</v>
      </c>
      <c r="O66" s="64"/>
      <c r="P66" s="51"/>
      <c r="Q66" s="51"/>
      <c r="R66" s="51"/>
      <c r="S66" s="51"/>
      <c r="T66" s="51"/>
      <c r="U66" s="51"/>
      <c r="V66" s="51"/>
      <c r="W66" s="51"/>
    </row>
    <row r="67" spans="1:23" x14ac:dyDescent="0.2">
      <c r="A67" s="67"/>
      <c r="B67" s="3" t="s">
        <v>86</v>
      </c>
      <c r="C67" s="9" t="s">
        <v>7</v>
      </c>
      <c r="D67" s="9" t="s">
        <v>7</v>
      </c>
      <c r="E67" s="9" t="s">
        <v>7</v>
      </c>
      <c r="F67" s="9" t="s">
        <v>7</v>
      </c>
      <c r="G67" s="9" t="s">
        <v>7</v>
      </c>
      <c r="H67" s="9" t="s">
        <v>7</v>
      </c>
      <c r="I67" s="9" t="s">
        <v>7</v>
      </c>
      <c r="J67" s="9" t="s">
        <v>7</v>
      </c>
      <c r="K67" s="9" t="s">
        <v>7</v>
      </c>
      <c r="L67" s="9" t="s">
        <v>7</v>
      </c>
      <c r="M67" s="9" t="s">
        <v>7</v>
      </c>
      <c r="N67" s="9" t="s">
        <v>7</v>
      </c>
      <c r="O67" s="64"/>
      <c r="P67" s="51"/>
      <c r="Q67" s="51"/>
      <c r="R67" s="51"/>
      <c r="S67" s="51"/>
      <c r="T67" s="51"/>
      <c r="U67" s="51"/>
      <c r="V67" s="51"/>
      <c r="W67" s="51"/>
    </row>
    <row r="68" spans="1:23" x14ac:dyDescent="0.2">
      <c r="A68" s="67"/>
      <c r="B68" s="3" t="s">
        <v>93</v>
      </c>
      <c r="C68" s="9" t="s">
        <v>7</v>
      </c>
      <c r="D68" s="9" t="s">
        <v>7</v>
      </c>
      <c r="E68" s="9" t="s">
        <v>7</v>
      </c>
      <c r="F68" s="9" t="s">
        <v>7</v>
      </c>
      <c r="G68" s="9" t="s">
        <v>7</v>
      </c>
      <c r="H68" s="9" t="s">
        <v>7</v>
      </c>
      <c r="I68" s="9" t="s">
        <v>7</v>
      </c>
      <c r="J68" s="9" t="s">
        <v>7</v>
      </c>
      <c r="K68" s="9" t="s">
        <v>7</v>
      </c>
      <c r="L68" s="9" t="s">
        <v>7</v>
      </c>
      <c r="M68" s="9" t="s">
        <v>7</v>
      </c>
      <c r="N68" s="9" t="s">
        <v>7</v>
      </c>
      <c r="O68" s="64"/>
      <c r="P68" s="51"/>
      <c r="Q68" s="51"/>
      <c r="R68" s="51"/>
      <c r="S68" s="51"/>
      <c r="T68" s="51"/>
      <c r="U68" s="51"/>
      <c r="V68" s="51"/>
      <c r="W68" s="51"/>
    </row>
    <row r="69" spans="1:23" x14ac:dyDescent="0.2">
      <c r="A69" s="67"/>
      <c r="B69" s="3" t="s">
        <v>94</v>
      </c>
      <c r="C69" s="9" t="s">
        <v>7</v>
      </c>
      <c r="D69" s="9" t="s">
        <v>7</v>
      </c>
      <c r="E69" s="9" t="s">
        <v>7</v>
      </c>
      <c r="F69" s="9" t="s">
        <v>7</v>
      </c>
      <c r="G69" s="9" t="s">
        <v>7</v>
      </c>
      <c r="H69" s="9" t="s">
        <v>7</v>
      </c>
      <c r="I69" s="9" t="s">
        <v>7</v>
      </c>
      <c r="J69" s="9" t="s">
        <v>7</v>
      </c>
      <c r="K69" s="9" t="s">
        <v>7</v>
      </c>
      <c r="L69" s="9" t="s">
        <v>7</v>
      </c>
      <c r="M69" s="9" t="s">
        <v>7</v>
      </c>
      <c r="N69" s="9" t="s">
        <v>7</v>
      </c>
      <c r="O69" s="64"/>
      <c r="P69" s="44"/>
      <c r="Q69" s="51"/>
      <c r="R69" s="51"/>
      <c r="S69" s="51"/>
      <c r="T69" s="51"/>
      <c r="U69" s="51"/>
      <c r="V69" s="51"/>
      <c r="W69" s="51"/>
    </row>
    <row r="70" spans="1:23" x14ac:dyDescent="0.2">
      <c r="A70" s="67"/>
      <c r="B70" s="3" t="s">
        <v>84</v>
      </c>
      <c r="C70" s="9" t="s">
        <v>7</v>
      </c>
      <c r="D70" s="9" t="s">
        <v>7</v>
      </c>
      <c r="E70" s="9" t="s">
        <v>7</v>
      </c>
      <c r="F70" s="9" t="s">
        <v>7</v>
      </c>
      <c r="G70" s="9" t="s">
        <v>7</v>
      </c>
      <c r="H70" s="9" t="s">
        <v>7</v>
      </c>
      <c r="I70" s="9" t="s">
        <v>7</v>
      </c>
      <c r="J70" s="9" t="s">
        <v>7</v>
      </c>
      <c r="K70" s="9" t="s">
        <v>7</v>
      </c>
      <c r="L70" s="9" t="s">
        <v>7</v>
      </c>
      <c r="M70" s="9" t="s">
        <v>7</v>
      </c>
      <c r="N70" s="9" t="s">
        <v>7</v>
      </c>
      <c r="O70" s="64"/>
      <c r="P70" s="44"/>
      <c r="Q70" s="51"/>
      <c r="R70" s="51"/>
      <c r="S70" s="51"/>
      <c r="T70" s="51"/>
      <c r="U70" s="51"/>
      <c r="V70" s="51"/>
      <c r="W70" s="51"/>
    </row>
    <row r="71" spans="1:23" x14ac:dyDescent="0.2">
      <c r="A71" s="67"/>
      <c r="B71" s="3" t="s">
        <v>87</v>
      </c>
      <c r="C71" s="9" t="s">
        <v>7</v>
      </c>
      <c r="D71" s="9" t="s">
        <v>7</v>
      </c>
      <c r="E71" s="9" t="s">
        <v>7</v>
      </c>
      <c r="F71" s="9" t="s">
        <v>7</v>
      </c>
      <c r="G71" s="9" t="s">
        <v>7</v>
      </c>
      <c r="H71" s="9" t="s">
        <v>7</v>
      </c>
      <c r="I71" s="9" t="s">
        <v>7</v>
      </c>
      <c r="J71" s="9" t="s">
        <v>7</v>
      </c>
      <c r="K71" s="9" t="s">
        <v>7</v>
      </c>
      <c r="L71" s="9" t="s">
        <v>7</v>
      </c>
      <c r="M71" s="9" t="s">
        <v>7</v>
      </c>
      <c r="N71" s="9" t="s">
        <v>7</v>
      </c>
      <c r="O71" s="64"/>
      <c r="P71" s="44"/>
      <c r="Q71" s="44"/>
      <c r="R71" s="51"/>
      <c r="S71" s="51"/>
      <c r="T71" s="51"/>
      <c r="U71" s="51"/>
      <c r="V71" s="51"/>
      <c r="W71" s="51"/>
    </row>
    <row r="72" spans="1:23" x14ac:dyDescent="0.2">
      <c r="A72" s="67"/>
      <c r="B72" s="3" t="s">
        <v>293</v>
      </c>
      <c r="C72" s="9" t="s">
        <v>7</v>
      </c>
      <c r="D72" s="9" t="s">
        <v>7</v>
      </c>
      <c r="E72" s="9" t="s">
        <v>7</v>
      </c>
      <c r="F72" s="9" t="s">
        <v>7</v>
      </c>
      <c r="G72" s="9" t="s">
        <v>7</v>
      </c>
      <c r="H72" s="9" t="s">
        <v>7</v>
      </c>
      <c r="I72" s="9" t="s">
        <v>7</v>
      </c>
      <c r="J72" s="9" t="s">
        <v>7</v>
      </c>
      <c r="K72" s="9" t="s">
        <v>7</v>
      </c>
      <c r="L72" s="9" t="s">
        <v>7</v>
      </c>
      <c r="M72" s="9" t="s">
        <v>7</v>
      </c>
      <c r="N72" s="9" t="s">
        <v>7</v>
      </c>
      <c r="O72" s="64"/>
      <c r="P72" s="44"/>
      <c r="Q72" s="44"/>
      <c r="R72" s="51"/>
      <c r="S72" s="51"/>
      <c r="T72" s="51"/>
      <c r="U72" s="51"/>
      <c r="V72" s="51"/>
      <c r="W72" s="51"/>
    </row>
    <row r="73" spans="1:23" x14ac:dyDescent="0.2">
      <c r="A73" s="67"/>
      <c r="B73" s="3" t="s">
        <v>95</v>
      </c>
      <c r="C73" s="9" t="s">
        <v>7</v>
      </c>
      <c r="D73" s="9" t="s">
        <v>7</v>
      </c>
      <c r="E73" s="9" t="s">
        <v>7</v>
      </c>
      <c r="F73" s="9" t="s">
        <v>7</v>
      </c>
      <c r="G73" s="9" t="s">
        <v>7</v>
      </c>
      <c r="H73" s="9" t="s">
        <v>7</v>
      </c>
      <c r="I73" s="9" t="s">
        <v>7</v>
      </c>
      <c r="J73" s="9" t="s">
        <v>7</v>
      </c>
      <c r="K73" s="9" t="s">
        <v>7</v>
      </c>
      <c r="L73" s="9" t="s">
        <v>7</v>
      </c>
      <c r="M73" s="9" t="s">
        <v>7</v>
      </c>
      <c r="N73" s="9" t="s">
        <v>7</v>
      </c>
      <c r="O73" s="64"/>
      <c r="P73" s="44"/>
      <c r="Q73" s="44"/>
      <c r="R73" s="51"/>
      <c r="S73" s="51"/>
      <c r="T73" s="51"/>
      <c r="U73" s="51"/>
      <c r="V73" s="51"/>
      <c r="W73" s="51"/>
    </row>
    <row r="74" spans="1:23" x14ac:dyDescent="0.2">
      <c r="A74" s="67"/>
      <c r="B74" s="3" t="s">
        <v>96</v>
      </c>
      <c r="C74" s="9" t="s">
        <v>7</v>
      </c>
      <c r="D74" s="9" t="s">
        <v>7</v>
      </c>
      <c r="E74" s="9" t="s">
        <v>7</v>
      </c>
      <c r="F74" s="9" t="s">
        <v>7</v>
      </c>
      <c r="G74" s="9" t="s">
        <v>7</v>
      </c>
      <c r="H74" s="9" t="s">
        <v>7</v>
      </c>
      <c r="I74" s="9" t="s">
        <v>7</v>
      </c>
      <c r="J74" s="9" t="s">
        <v>7</v>
      </c>
      <c r="K74" s="9" t="s">
        <v>7</v>
      </c>
      <c r="L74" s="9" t="s">
        <v>7</v>
      </c>
      <c r="M74" s="9" t="s">
        <v>7</v>
      </c>
      <c r="N74" s="9" t="s">
        <v>7</v>
      </c>
      <c r="O74" s="64"/>
      <c r="R74" s="51"/>
      <c r="S74" s="51"/>
      <c r="T74" s="51"/>
      <c r="U74" s="51"/>
      <c r="V74" s="51"/>
      <c r="W74" s="51"/>
    </row>
    <row r="75" spans="1:23" x14ac:dyDescent="0.2">
      <c r="A75" s="67"/>
      <c r="B75" s="3" t="s">
        <v>90</v>
      </c>
      <c r="C75" s="9" t="s">
        <v>7</v>
      </c>
      <c r="D75" s="9" t="s">
        <v>7</v>
      </c>
      <c r="E75" s="9" t="s">
        <v>7</v>
      </c>
      <c r="F75" s="9" t="s">
        <v>7</v>
      </c>
      <c r="G75" s="9" t="s">
        <v>7</v>
      </c>
      <c r="H75" s="9" t="s">
        <v>7</v>
      </c>
      <c r="I75" s="9" t="s">
        <v>7</v>
      </c>
      <c r="J75" s="9" t="s">
        <v>7</v>
      </c>
      <c r="K75" s="9" t="s">
        <v>7</v>
      </c>
      <c r="L75" s="9" t="s">
        <v>7</v>
      </c>
      <c r="M75" s="9" t="s">
        <v>7</v>
      </c>
      <c r="N75" s="9" t="s">
        <v>7</v>
      </c>
      <c r="O75" s="64"/>
      <c r="R75" s="51"/>
      <c r="S75" s="51"/>
      <c r="T75" s="51"/>
      <c r="U75" s="51"/>
      <c r="V75" s="51"/>
      <c r="W75" s="51"/>
    </row>
    <row r="76" spans="1:23" x14ac:dyDescent="0.2">
      <c r="A76" s="67"/>
      <c r="B76" s="3" t="s">
        <v>97</v>
      </c>
      <c r="C76" s="9" t="s">
        <v>7</v>
      </c>
      <c r="D76" s="9" t="s">
        <v>7</v>
      </c>
      <c r="E76" s="9" t="s">
        <v>7</v>
      </c>
      <c r="F76" s="9" t="s">
        <v>7</v>
      </c>
      <c r="G76" s="9" t="s">
        <v>7</v>
      </c>
      <c r="H76" s="9" t="s">
        <v>7</v>
      </c>
      <c r="I76" s="9" t="s">
        <v>7</v>
      </c>
      <c r="J76" s="9" t="s">
        <v>7</v>
      </c>
      <c r="K76" s="9" t="s">
        <v>7</v>
      </c>
      <c r="L76" s="9" t="s">
        <v>7</v>
      </c>
      <c r="M76" s="9" t="s">
        <v>7</v>
      </c>
      <c r="N76" s="9" t="s">
        <v>7</v>
      </c>
      <c r="O76" s="64"/>
      <c r="R76" s="51"/>
      <c r="S76" s="51"/>
      <c r="T76" s="51"/>
      <c r="U76" s="51"/>
      <c r="V76" s="51"/>
      <c r="W76" s="51"/>
    </row>
    <row r="77" spans="1:23" x14ac:dyDescent="0.2">
      <c r="A77" s="67"/>
      <c r="B77" s="3" t="s">
        <v>98</v>
      </c>
      <c r="C77" s="9" t="s">
        <v>7</v>
      </c>
      <c r="D77" s="9" t="s">
        <v>7</v>
      </c>
      <c r="E77" s="9" t="s">
        <v>7</v>
      </c>
      <c r="F77" s="9" t="s">
        <v>7</v>
      </c>
      <c r="G77" s="9" t="s">
        <v>7</v>
      </c>
      <c r="H77" s="9" t="s">
        <v>7</v>
      </c>
      <c r="I77" s="9" t="s">
        <v>7</v>
      </c>
      <c r="J77" s="9" t="s">
        <v>7</v>
      </c>
      <c r="K77" s="9" t="s">
        <v>7</v>
      </c>
      <c r="L77" s="9" t="s">
        <v>7</v>
      </c>
      <c r="M77" s="9" t="s">
        <v>7</v>
      </c>
      <c r="N77" s="9" t="s">
        <v>7</v>
      </c>
      <c r="O77" s="64"/>
      <c r="R77" s="51"/>
      <c r="S77" s="51"/>
      <c r="T77" s="51"/>
      <c r="U77" s="51"/>
      <c r="V77" s="51"/>
      <c r="W77" s="51"/>
    </row>
    <row r="78" spans="1:23" ht="15.75" customHeight="1" thickBot="1" x14ac:dyDescent="0.25">
      <c r="A78" s="68"/>
      <c r="B78" s="29" t="s">
        <v>99</v>
      </c>
      <c r="C78" s="25" t="s">
        <v>7</v>
      </c>
      <c r="D78" s="25" t="s">
        <v>7</v>
      </c>
      <c r="E78" s="25" t="s">
        <v>7</v>
      </c>
      <c r="F78" s="25" t="s">
        <v>7</v>
      </c>
      <c r="G78" s="25" t="s">
        <v>7</v>
      </c>
      <c r="H78" s="25" t="s">
        <v>7</v>
      </c>
      <c r="I78" s="25" t="s">
        <v>7</v>
      </c>
      <c r="J78" s="25" t="s">
        <v>7</v>
      </c>
      <c r="K78" s="25" t="s">
        <v>7</v>
      </c>
      <c r="L78" s="25" t="s">
        <v>7</v>
      </c>
      <c r="M78" s="25" t="s">
        <v>7</v>
      </c>
      <c r="N78" s="25" t="s">
        <v>7</v>
      </c>
      <c r="O78" s="64"/>
      <c r="R78" s="51"/>
      <c r="S78" s="51"/>
      <c r="T78" s="51"/>
      <c r="U78" s="51"/>
      <c r="V78" s="51"/>
      <c r="W78" s="51"/>
    </row>
    <row r="79" spans="1:23" ht="15" customHeight="1" x14ac:dyDescent="0.2">
      <c r="A79" s="66" t="s">
        <v>18</v>
      </c>
      <c r="B79" s="28" t="s">
        <v>100</v>
      </c>
      <c r="C79" s="23" t="s">
        <v>7</v>
      </c>
      <c r="D79" s="23" t="s">
        <v>7</v>
      </c>
      <c r="E79" s="23" t="s">
        <v>7</v>
      </c>
      <c r="F79" s="23" t="s">
        <v>7</v>
      </c>
      <c r="G79" s="23" t="s">
        <v>7</v>
      </c>
      <c r="H79" s="23" t="s">
        <v>7</v>
      </c>
      <c r="I79" s="23" t="s">
        <v>7</v>
      </c>
      <c r="J79" s="23" t="s">
        <v>7</v>
      </c>
      <c r="K79" s="23" t="s">
        <v>7</v>
      </c>
      <c r="L79" s="23" t="s">
        <v>7</v>
      </c>
      <c r="M79" s="23" t="s">
        <v>7</v>
      </c>
      <c r="N79" s="23" t="s">
        <v>7</v>
      </c>
      <c r="O79" s="92"/>
      <c r="U79" s="57" t="s">
        <v>283</v>
      </c>
      <c r="V79" s="53" t="s">
        <v>284</v>
      </c>
      <c r="W79" s="54" t="s">
        <v>285</v>
      </c>
    </row>
    <row r="80" spans="1:23" x14ac:dyDescent="0.2">
      <c r="A80" s="67"/>
      <c r="B80" s="3" t="s">
        <v>101</v>
      </c>
      <c r="C80" s="9" t="s">
        <v>7</v>
      </c>
      <c r="D80" s="9" t="s">
        <v>7</v>
      </c>
      <c r="E80" s="9" t="s">
        <v>7</v>
      </c>
      <c r="F80" s="9" t="s">
        <v>7</v>
      </c>
      <c r="G80" s="9" t="s">
        <v>7</v>
      </c>
      <c r="H80" s="9" t="s">
        <v>7</v>
      </c>
      <c r="I80" s="9" t="s">
        <v>7</v>
      </c>
      <c r="J80" s="9" t="s">
        <v>7</v>
      </c>
      <c r="K80" s="9" t="s">
        <v>7</v>
      </c>
      <c r="L80" s="9" t="s">
        <v>7</v>
      </c>
      <c r="M80" s="9" t="s">
        <v>7</v>
      </c>
      <c r="N80" s="9" t="s">
        <v>7</v>
      </c>
      <c r="O80" s="64"/>
      <c r="U80" s="51"/>
      <c r="V80" s="51"/>
      <c r="W80" s="51"/>
    </row>
    <row r="81" spans="1:23" x14ac:dyDescent="0.2">
      <c r="A81" s="67"/>
      <c r="B81" s="3" t="s">
        <v>102</v>
      </c>
      <c r="C81" s="9" t="s">
        <v>7</v>
      </c>
      <c r="D81" s="9" t="s">
        <v>7</v>
      </c>
      <c r="E81" s="9" t="s">
        <v>7</v>
      </c>
      <c r="F81" s="9" t="s">
        <v>7</v>
      </c>
      <c r="G81" s="9" t="s">
        <v>7</v>
      </c>
      <c r="H81" s="9" t="s">
        <v>7</v>
      </c>
      <c r="I81" s="9" t="s">
        <v>7</v>
      </c>
      <c r="J81" s="9" t="s">
        <v>7</v>
      </c>
      <c r="K81" s="9" t="s">
        <v>7</v>
      </c>
      <c r="L81" s="9" t="s">
        <v>7</v>
      </c>
      <c r="M81" s="9" t="s">
        <v>7</v>
      </c>
      <c r="N81" s="9" t="s">
        <v>7</v>
      </c>
      <c r="O81" s="64"/>
      <c r="U81" s="51"/>
      <c r="V81" s="51"/>
      <c r="W81" s="51"/>
    </row>
    <row r="82" spans="1:23" x14ac:dyDescent="0.2">
      <c r="A82" s="67"/>
      <c r="B82" s="3" t="s">
        <v>103</v>
      </c>
      <c r="C82" s="9" t="s">
        <v>7</v>
      </c>
      <c r="D82" s="9" t="s">
        <v>7</v>
      </c>
      <c r="E82" s="9" t="s">
        <v>7</v>
      </c>
      <c r="F82" s="9" t="s">
        <v>7</v>
      </c>
      <c r="G82" s="9" t="s">
        <v>7</v>
      </c>
      <c r="H82" s="9" t="s">
        <v>7</v>
      </c>
      <c r="I82" s="9" t="s">
        <v>7</v>
      </c>
      <c r="J82" s="9" t="s">
        <v>7</v>
      </c>
      <c r="K82" s="9" t="s">
        <v>7</v>
      </c>
      <c r="L82" s="9" t="s">
        <v>7</v>
      </c>
      <c r="M82" s="9" t="s">
        <v>7</v>
      </c>
      <c r="N82" s="9" t="s">
        <v>7</v>
      </c>
      <c r="O82" s="64"/>
      <c r="U82" s="51"/>
      <c r="V82" s="51"/>
      <c r="W82" s="51"/>
    </row>
    <row r="83" spans="1:23" x14ac:dyDescent="0.2">
      <c r="A83" s="67"/>
      <c r="B83" s="3" t="s">
        <v>294</v>
      </c>
      <c r="C83" s="9" t="s">
        <v>7</v>
      </c>
      <c r="D83" s="9" t="s">
        <v>7</v>
      </c>
      <c r="E83" s="9" t="s">
        <v>7</v>
      </c>
      <c r="F83" s="9" t="s">
        <v>7</v>
      </c>
      <c r="G83" s="9" t="s">
        <v>7</v>
      </c>
      <c r="H83" s="9" t="s">
        <v>7</v>
      </c>
      <c r="I83" s="9" t="s">
        <v>7</v>
      </c>
      <c r="J83" s="9" t="s">
        <v>7</v>
      </c>
      <c r="K83" s="9" t="s">
        <v>7</v>
      </c>
      <c r="L83" s="9" t="s">
        <v>7</v>
      </c>
      <c r="M83" s="9" t="s">
        <v>7</v>
      </c>
      <c r="N83" s="9" t="s">
        <v>7</v>
      </c>
      <c r="O83" s="64"/>
      <c r="U83" s="51"/>
      <c r="V83" s="51"/>
      <c r="W83" s="51"/>
    </row>
    <row r="84" spans="1:23" x14ac:dyDescent="0.2">
      <c r="A84" s="67"/>
      <c r="B84" s="3" t="s">
        <v>105</v>
      </c>
      <c r="C84" s="9" t="s">
        <v>7</v>
      </c>
      <c r="D84" s="9" t="s">
        <v>7</v>
      </c>
      <c r="E84" s="9" t="s">
        <v>7</v>
      </c>
      <c r="F84" s="9" t="s">
        <v>7</v>
      </c>
      <c r="G84" s="9" t="s">
        <v>7</v>
      </c>
      <c r="H84" s="9" t="s">
        <v>7</v>
      </c>
      <c r="I84" s="9" t="s">
        <v>7</v>
      </c>
      <c r="J84" s="9" t="s">
        <v>7</v>
      </c>
      <c r="K84" s="9" t="s">
        <v>7</v>
      </c>
      <c r="L84" s="9" t="s">
        <v>7</v>
      </c>
      <c r="M84" s="9" t="s">
        <v>7</v>
      </c>
      <c r="N84" s="9" t="s">
        <v>7</v>
      </c>
      <c r="O84" s="64"/>
      <c r="U84" s="51"/>
      <c r="V84" s="51"/>
      <c r="W84" s="51"/>
    </row>
    <row r="85" spans="1:23" x14ac:dyDescent="0.2">
      <c r="A85" s="67"/>
      <c r="B85" s="3" t="s">
        <v>295</v>
      </c>
      <c r="C85" s="9" t="s">
        <v>7</v>
      </c>
      <c r="D85" s="9" t="s">
        <v>7</v>
      </c>
      <c r="E85" s="9" t="s">
        <v>7</v>
      </c>
      <c r="F85" s="9" t="s">
        <v>7</v>
      </c>
      <c r="G85" s="9" t="s">
        <v>7</v>
      </c>
      <c r="H85" s="9" t="s">
        <v>7</v>
      </c>
      <c r="I85" s="9" t="s">
        <v>7</v>
      </c>
      <c r="J85" s="9" t="s">
        <v>7</v>
      </c>
      <c r="K85" s="9" t="s">
        <v>7</v>
      </c>
      <c r="L85" s="9" t="s">
        <v>7</v>
      </c>
      <c r="M85" s="9" t="s">
        <v>7</v>
      </c>
      <c r="N85" s="9" t="s">
        <v>7</v>
      </c>
      <c r="O85" s="64"/>
      <c r="U85" s="51"/>
      <c r="V85" s="51"/>
      <c r="W85" s="51"/>
    </row>
    <row r="86" spans="1:23" x14ac:dyDescent="0.2">
      <c r="A86" s="67"/>
      <c r="B86" s="3" t="s">
        <v>107</v>
      </c>
      <c r="C86" s="9" t="s">
        <v>7</v>
      </c>
      <c r="D86" s="9" t="s">
        <v>7</v>
      </c>
      <c r="E86" s="9" t="s">
        <v>7</v>
      </c>
      <c r="F86" s="9" t="s">
        <v>7</v>
      </c>
      <c r="G86" s="9" t="s">
        <v>7</v>
      </c>
      <c r="H86" s="9" t="s">
        <v>7</v>
      </c>
      <c r="I86" s="9" t="s">
        <v>7</v>
      </c>
      <c r="J86" s="9" t="s">
        <v>7</v>
      </c>
      <c r="K86" s="9" t="s">
        <v>7</v>
      </c>
      <c r="L86" s="9" t="s">
        <v>7</v>
      </c>
      <c r="M86" s="9" t="s">
        <v>7</v>
      </c>
      <c r="N86" s="9" t="s">
        <v>7</v>
      </c>
      <c r="O86" s="64"/>
      <c r="U86" s="51"/>
      <c r="V86" s="51"/>
      <c r="W86" s="51"/>
    </row>
    <row r="87" spans="1:23" x14ac:dyDescent="0.2">
      <c r="A87" s="67"/>
      <c r="B87" s="3" t="s">
        <v>108</v>
      </c>
      <c r="C87" s="9" t="s">
        <v>7</v>
      </c>
      <c r="D87" s="9" t="s">
        <v>7</v>
      </c>
      <c r="E87" s="9" t="s">
        <v>7</v>
      </c>
      <c r="F87" s="9" t="s">
        <v>7</v>
      </c>
      <c r="G87" s="9" t="s">
        <v>7</v>
      </c>
      <c r="H87" s="9" t="s">
        <v>7</v>
      </c>
      <c r="I87" s="9" t="s">
        <v>7</v>
      </c>
      <c r="J87" s="9" t="s">
        <v>7</v>
      </c>
      <c r="K87" s="9" t="s">
        <v>7</v>
      </c>
      <c r="L87" s="9" t="s">
        <v>7</v>
      </c>
      <c r="M87" s="9" t="s">
        <v>7</v>
      </c>
      <c r="N87" s="9" t="s">
        <v>7</v>
      </c>
      <c r="O87" s="64"/>
      <c r="U87" s="51"/>
      <c r="V87" s="51"/>
      <c r="W87" s="51"/>
    </row>
    <row r="88" spans="1:23" x14ac:dyDescent="0.2">
      <c r="A88" s="67"/>
      <c r="B88" s="3" t="s">
        <v>109</v>
      </c>
      <c r="C88" s="9" t="s">
        <v>7</v>
      </c>
      <c r="D88" s="9" t="s">
        <v>7</v>
      </c>
      <c r="E88" s="9" t="s">
        <v>7</v>
      </c>
      <c r="F88" s="9" t="s">
        <v>7</v>
      </c>
      <c r="G88" s="9" t="s">
        <v>7</v>
      </c>
      <c r="H88" s="9" t="s">
        <v>7</v>
      </c>
      <c r="I88" s="9" t="s">
        <v>7</v>
      </c>
      <c r="J88" s="9" t="s">
        <v>7</v>
      </c>
      <c r="K88" s="9" t="s">
        <v>7</v>
      </c>
      <c r="L88" s="9" t="s">
        <v>7</v>
      </c>
      <c r="M88" s="9" t="s">
        <v>7</v>
      </c>
      <c r="N88" s="9" t="s">
        <v>7</v>
      </c>
      <c r="O88" s="64"/>
      <c r="U88" s="51"/>
      <c r="V88" s="51"/>
      <c r="W88" s="51"/>
    </row>
    <row r="89" spans="1:23" x14ac:dyDescent="0.2">
      <c r="A89" s="67"/>
      <c r="B89" s="3" t="s">
        <v>110</v>
      </c>
      <c r="C89" s="9" t="s">
        <v>7</v>
      </c>
      <c r="D89" s="9" t="s">
        <v>7</v>
      </c>
      <c r="E89" s="9" t="s">
        <v>7</v>
      </c>
      <c r="F89" s="9" t="s">
        <v>7</v>
      </c>
      <c r="G89" s="9" t="s">
        <v>7</v>
      </c>
      <c r="H89" s="9" t="s">
        <v>7</v>
      </c>
      <c r="I89" s="9" t="s">
        <v>7</v>
      </c>
      <c r="J89" s="9" t="s">
        <v>7</v>
      </c>
      <c r="K89" s="9" t="s">
        <v>7</v>
      </c>
      <c r="L89" s="9" t="s">
        <v>7</v>
      </c>
      <c r="M89" s="9" t="s">
        <v>7</v>
      </c>
      <c r="N89" s="9" t="s">
        <v>7</v>
      </c>
      <c r="O89" s="64"/>
      <c r="U89" s="51"/>
      <c r="V89" s="51"/>
      <c r="W89" s="51"/>
    </row>
    <row r="90" spans="1:23" x14ac:dyDescent="0.2">
      <c r="A90" s="67"/>
      <c r="B90" s="3" t="s">
        <v>84</v>
      </c>
      <c r="C90" s="9" t="s">
        <v>7</v>
      </c>
      <c r="D90" s="9" t="s">
        <v>7</v>
      </c>
      <c r="E90" s="9" t="s">
        <v>7</v>
      </c>
      <c r="F90" s="9" t="s">
        <v>7</v>
      </c>
      <c r="G90" s="9" t="s">
        <v>7</v>
      </c>
      <c r="H90" s="9" t="s">
        <v>7</v>
      </c>
      <c r="I90" s="9" t="s">
        <v>7</v>
      </c>
      <c r="J90" s="9" t="s">
        <v>7</v>
      </c>
      <c r="K90" s="9" t="s">
        <v>7</v>
      </c>
      <c r="L90" s="9" t="s">
        <v>7</v>
      </c>
      <c r="M90" s="9" t="s">
        <v>7</v>
      </c>
      <c r="N90" s="9" t="s">
        <v>7</v>
      </c>
      <c r="O90" s="64"/>
      <c r="U90" s="51"/>
      <c r="V90" s="51"/>
      <c r="W90" s="51"/>
    </row>
    <row r="91" spans="1:23" x14ac:dyDescent="0.2">
      <c r="A91" s="67"/>
      <c r="B91" s="3" t="s">
        <v>111</v>
      </c>
      <c r="C91" s="9" t="s">
        <v>7</v>
      </c>
      <c r="D91" s="9" t="s">
        <v>7</v>
      </c>
      <c r="E91" s="9" t="s">
        <v>7</v>
      </c>
      <c r="F91" s="9" t="s">
        <v>7</v>
      </c>
      <c r="G91" s="9" t="s">
        <v>7</v>
      </c>
      <c r="H91" s="9" t="s">
        <v>7</v>
      </c>
      <c r="I91" s="9" t="s">
        <v>7</v>
      </c>
      <c r="J91" s="9" t="s">
        <v>7</v>
      </c>
      <c r="K91" s="9" t="s">
        <v>7</v>
      </c>
      <c r="L91" s="9" t="s">
        <v>7</v>
      </c>
      <c r="M91" s="9" t="s">
        <v>7</v>
      </c>
      <c r="N91" s="9" t="s">
        <v>7</v>
      </c>
      <c r="O91" s="64"/>
      <c r="U91" s="44"/>
      <c r="V91" s="51"/>
      <c r="W91" s="51"/>
    </row>
    <row r="92" spans="1:23" x14ac:dyDescent="0.2">
      <c r="A92" s="67"/>
      <c r="B92" s="3" t="s">
        <v>112</v>
      </c>
      <c r="C92" s="9" t="s">
        <v>7</v>
      </c>
      <c r="D92" s="9" t="s">
        <v>7</v>
      </c>
      <c r="E92" s="9" t="s">
        <v>7</v>
      </c>
      <c r="F92" s="9" t="s">
        <v>7</v>
      </c>
      <c r="G92" s="9" t="s">
        <v>7</v>
      </c>
      <c r="H92" s="9" t="s">
        <v>7</v>
      </c>
      <c r="I92" s="9" t="s">
        <v>7</v>
      </c>
      <c r="J92" s="9" t="s">
        <v>7</v>
      </c>
      <c r="K92" s="9" t="s">
        <v>7</v>
      </c>
      <c r="L92" s="9" t="s">
        <v>7</v>
      </c>
      <c r="M92" s="9" t="s">
        <v>7</v>
      </c>
      <c r="N92" s="9" t="s">
        <v>7</v>
      </c>
      <c r="O92" s="64"/>
      <c r="U92" s="44"/>
      <c r="V92" s="51"/>
      <c r="W92" s="51"/>
    </row>
    <row r="93" spans="1:23" x14ac:dyDescent="0.2">
      <c r="A93" s="67"/>
      <c r="B93" s="3" t="s">
        <v>113</v>
      </c>
      <c r="C93" s="9" t="s">
        <v>7</v>
      </c>
      <c r="D93" s="9" t="s">
        <v>7</v>
      </c>
      <c r="E93" s="9" t="s">
        <v>7</v>
      </c>
      <c r="F93" s="9" t="s">
        <v>7</v>
      </c>
      <c r="G93" s="9" t="s">
        <v>7</v>
      </c>
      <c r="H93" s="9" t="s">
        <v>7</v>
      </c>
      <c r="I93" s="9" t="s">
        <v>7</v>
      </c>
      <c r="J93" s="9" t="s">
        <v>7</v>
      </c>
      <c r="K93" s="9" t="s">
        <v>7</v>
      </c>
      <c r="L93" s="9" t="s">
        <v>7</v>
      </c>
      <c r="M93" s="9" t="s">
        <v>7</v>
      </c>
      <c r="N93" s="9" t="s">
        <v>7</v>
      </c>
      <c r="O93" s="64"/>
      <c r="U93" s="45"/>
      <c r="V93" s="51"/>
      <c r="W93" s="51"/>
    </row>
    <row r="94" spans="1:23" x14ac:dyDescent="0.2">
      <c r="A94" s="67"/>
      <c r="B94" s="3" t="s">
        <v>114</v>
      </c>
      <c r="C94" s="9" t="s">
        <v>7</v>
      </c>
      <c r="D94" s="9" t="s">
        <v>7</v>
      </c>
      <c r="E94" s="9" t="s">
        <v>7</v>
      </c>
      <c r="F94" s="9" t="s">
        <v>7</v>
      </c>
      <c r="G94" s="9" t="s">
        <v>7</v>
      </c>
      <c r="H94" s="9" t="s">
        <v>7</v>
      </c>
      <c r="I94" s="9" t="s">
        <v>7</v>
      </c>
      <c r="J94" s="9" t="s">
        <v>7</v>
      </c>
      <c r="K94" s="9" t="s">
        <v>7</v>
      </c>
      <c r="L94" s="9" t="s">
        <v>7</v>
      </c>
      <c r="M94" s="9" t="s">
        <v>7</v>
      </c>
      <c r="N94" s="9" t="s">
        <v>7</v>
      </c>
      <c r="O94" s="64"/>
      <c r="U94" s="45"/>
      <c r="V94" s="51"/>
      <c r="W94" s="51"/>
    </row>
    <row r="95" spans="1:23" x14ac:dyDescent="0.2">
      <c r="A95" s="67"/>
      <c r="B95" s="3" t="s">
        <v>115</v>
      </c>
      <c r="C95" s="9" t="s">
        <v>7</v>
      </c>
      <c r="D95" s="9" t="s">
        <v>7</v>
      </c>
      <c r="E95" s="9" t="s">
        <v>7</v>
      </c>
      <c r="F95" s="9" t="s">
        <v>7</v>
      </c>
      <c r="G95" s="9" t="s">
        <v>7</v>
      </c>
      <c r="H95" s="9" t="s">
        <v>7</v>
      </c>
      <c r="I95" s="9" t="s">
        <v>7</v>
      </c>
      <c r="J95" s="9" t="s">
        <v>7</v>
      </c>
      <c r="K95" s="9" t="s">
        <v>7</v>
      </c>
      <c r="L95" s="9" t="s">
        <v>7</v>
      </c>
      <c r="M95" s="9" t="s">
        <v>7</v>
      </c>
      <c r="N95" s="9" t="s">
        <v>7</v>
      </c>
      <c r="O95" s="64"/>
      <c r="V95" s="51"/>
      <c r="W95" s="51"/>
    </row>
    <row r="96" spans="1:23" x14ac:dyDescent="0.2">
      <c r="A96" s="67"/>
      <c r="B96" s="3" t="s">
        <v>296</v>
      </c>
      <c r="C96" s="9" t="s">
        <v>7</v>
      </c>
      <c r="D96" s="9" t="s">
        <v>7</v>
      </c>
      <c r="E96" s="9" t="s">
        <v>7</v>
      </c>
      <c r="F96" s="9" t="s">
        <v>7</v>
      </c>
      <c r="G96" s="9" t="s">
        <v>7</v>
      </c>
      <c r="H96" s="9" t="s">
        <v>7</v>
      </c>
      <c r="I96" s="9" t="s">
        <v>7</v>
      </c>
      <c r="J96" s="9" t="s">
        <v>7</v>
      </c>
      <c r="K96" s="9" t="s">
        <v>7</v>
      </c>
      <c r="L96" s="9" t="s">
        <v>7</v>
      </c>
      <c r="M96" s="9" t="s">
        <v>7</v>
      </c>
      <c r="N96" s="9" t="s">
        <v>7</v>
      </c>
      <c r="O96" s="64"/>
      <c r="V96" s="51"/>
      <c r="W96" s="51"/>
    </row>
    <row r="97" spans="1:23" x14ac:dyDescent="0.2">
      <c r="A97" s="67"/>
      <c r="B97" s="3" t="s">
        <v>99</v>
      </c>
      <c r="C97" s="9" t="s">
        <v>7</v>
      </c>
      <c r="D97" s="9" t="s">
        <v>7</v>
      </c>
      <c r="E97" s="9" t="s">
        <v>7</v>
      </c>
      <c r="F97" s="9" t="s">
        <v>7</v>
      </c>
      <c r="G97" s="9" t="s">
        <v>7</v>
      </c>
      <c r="H97" s="9" t="s">
        <v>7</v>
      </c>
      <c r="I97" s="9" t="s">
        <v>7</v>
      </c>
      <c r="J97" s="9" t="s">
        <v>7</v>
      </c>
      <c r="K97" s="9" t="s">
        <v>7</v>
      </c>
      <c r="L97" s="9" t="s">
        <v>7</v>
      </c>
      <c r="M97" s="9" t="s">
        <v>7</v>
      </c>
      <c r="N97" s="9" t="s">
        <v>7</v>
      </c>
      <c r="O97" s="64"/>
      <c r="V97" s="51"/>
      <c r="W97" s="51"/>
    </row>
    <row r="98" spans="1:23" x14ac:dyDescent="0.2">
      <c r="A98" s="67"/>
      <c r="B98" s="3" t="s">
        <v>116</v>
      </c>
      <c r="C98" s="9" t="s">
        <v>7</v>
      </c>
      <c r="D98" s="9" t="s">
        <v>7</v>
      </c>
      <c r="E98" s="9" t="s">
        <v>7</v>
      </c>
      <c r="F98" s="9" t="s">
        <v>7</v>
      </c>
      <c r="G98" s="9" t="s">
        <v>7</v>
      </c>
      <c r="H98" s="9" t="s">
        <v>7</v>
      </c>
      <c r="I98" s="9" t="s">
        <v>7</v>
      </c>
      <c r="J98" s="9" t="s">
        <v>7</v>
      </c>
      <c r="K98" s="9" t="s">
        <v>7</v>
      </c>
      <c r="L98" s="9" t="s">
        <v>7</v>
      </c>
      <c r="M98" s="9" t="s">
        <v>7</v>
      </c>
      <c r="N98" s="9" t="s">
        <v>7</v>
      </c>
      <c r="O98" s="64"/>
      <c r="V98" s="51"/>
      <c r="W98" s="51"/>
    </row>
    <row r="99" spans="1:23" x14ac:dyDescent="0.2">
      <c r="A99" s="67"/>
      <c r="B99" s="3" t="s">
        <v>117</v>
      </c>
      <c r="C99" s="9" t="s">
        <v>7</v>
      </c>
      <c r="D99" s="9" t="s">
        <v>7</v>
      </c>
      <c r="E99" s="9" t="s">
        <v>7</v>
      </c>
      <c r="F99" s="9" t="s">
        <v>7</v>
      </c>
      <c r="G99" s="9" t="s">
        <v>7</v>
      </c>
      <c r="H99" s="9" t="s">
        <v>7</v>
      </c>
      <c r="I99" s="9" t="s">
        <v>7</v>
      </c>
      <c r="J99" s="9" t="s">
        <v>7</v>
      </c>
      <c r="K99" s="9" t="s">
        <v>7</v>
      </c>
      <c r="L99" s="9" t="s">
        <v>7</v>
      </c>
      <c r="M99" s="9" t="s">
        <v>7</v>
      </c>
      <c r="N99" s="9" t="s">
        <v>7</v>
      </c>
      <c r="O99" s="64"/>
      <c r="V99" s="51"/>
      <c r="W99" s="51"/>
    </row>
    <row r="100" spans="1:23" x14ac:dyDescent="0.2">
      <c r="A100" s="67"/>
      <c r="B100" s="3" t="s">
        <v>118</v>
      </c>
      <c r="C100" s="9" t="s">
        <v>7</v>
      </c>
      <c r="D100" s="9" t="s">
        <v>7</v>
      </c>
      <c r="E100" s="9" t="s">
        <v>7</v>
      </c>
      <c r="F100" s="9" t="s">
        <v>7</v>
      </c>
      <c r="G100" s="9" t="s">
        <v>7</v>
      </c>
      <c r="H100" s="9" t="s">
        <v>7</v>
      </c>
      <c r="I100" s="9" t="s">
        <v>7</v>
      </c>
      <c r="J100" s="9" t="s">
        <v>7</v>
      </c>
      <c r="K100" s="9" t="s">
        <v>7</v>
      </c>
      <c r="L100" s="9" t="s">
        <v>7</v>
      </c>
      <c r="M100" s="9" t="s">
        <v>7</v>
      </c>
      <c r="N100" s="9" t="s">
        <v>7</v>
      </c>
      <c r="O100" s="64"/>
      <c r="W100" s="51"/>
    </row>
    <row r="101" spans="1:23" x14ac:dyDescent="0.2">
      <c r="A101" s="67"/>
      <c r="B101" s="3" t="s">
        <v>119</v>
      </c>
      <c r="C101" s="9" t="s">
        <v>7</v>
      </c>
      <c r="D101" s="9" t="s">
        <v>7</v>
      </c>
      <c r="E101" s="9" t="s">
        <v>7</v>
      </c>
      <c r="F101" s="9" t="s">
        <v>7</v>
      </c>
      <c r="G101" s="9" t="s">
        <v>7</v>
      </c>
      <c r="H101" s="9" t="s">
        <v>7</v>
      </c>
      <c r="I101" s="9" t="s">
        <v>7</v>
      </c>
      <c r="J101" s="9" t="s">
        <v>7</v>
      </c>
      <c r="K101" s="9" t="s">
        <v>7</v>
      </c>
      <c r="L101" s="9" t="s">
        <v>7</v>
      </c>
      <c r="M101" s="9" t="s">
        <v>7</v>
      </c>
      <c r="N101" s="9" t="s">
        <v>7</v>
      </c>
      <c r="O101" s="64"/>
      <c r="W101" s="51"/>
    </row>
    <row r="102" spans="1:23" x14ac:dyDescent="0.2">
      <c r="A102" s="67"/>
      <c r="B102" s="3" t="s">
        <v>120</v>
      </c>
      <c r="C102" s="9" t="s">
        <v>7</v>
      </c>
      <c r="D102" s="9" t="s">
        <v>7</v>
      </c>
      <c r="E102" s="9" t="s">
        <v>7</v>
      </c>
      <c r="F102" s="9" t="s">
        <v>7</v>
      </c>
      <c r="G102" s="9" t="s">
        <v>7</v>
      </c>
      <c r="H102" s="9" t="s">
        <v>7</v>
      </c>
      <c r="I102" s="9" t="s">
        <v>7</v>
      </c>
      <c r="J102" s="9" t="s">
        <v>7</v>
      </c>
      <c r="K102" s="9" t="s">
        <v>7</v>
      </c>
      <c r="L102" s="9" t="s">
        <v>7</v>
      </c>
      <c r="M102" s="9" t="s">
        <v>7</v>
      </c>
      <c r="N102" s="9" t="s">
        <v>7</v>
      </c>
      <c r="O102" s="64"/>
      <c r="W102" s="51"/>
    </row>
    <row r="103" spans="1:23" x14ac:dyDescent="0.2">
      <c r="A103" s="67"/>
      <c r="B103" s="3" t="s">
        <v>121</v>
      </c>
      <c r="C103" s="9" t="s">
        <v>7</v>
      </c>
      <c r="D103" s="9" t="s">
        <v>7</v>
      </c>
      <c r="E103" s="9" t="s">
        <v>7</v>
      </c>
      <c r="F103" s="9" t="s">
        <v>7</v>
      </c>
      <c r="G103" s="9" t="s">
        <v>7</v>
      </c>
      <c r="H103" s="9" t="s">
        <v>7</v>
      </c>
      <c r="I103" s="9" t="s">
        <v>7</v>
      </c>
      <c r="J103" s="9" t="s">
        <v>7</v>
      </c>
      <c r="K103" s="9" t="s">
        <v>7</v>
      </c>
      <c r="L103" s="9" t="s">
        <v>7</v>
      </c>
      <c r="M103" s="9" t="s">
        <v>7</v>
      </c>
      <c r="N103" s="9" t="s">
        <v>7</v>
      </c>
      <c r="O103" s="64"/>
      <c r="W103" s="51"/>
    </row>
    <row r="104" spans="1:23" ht="15.75" customHeight="1" thickBot="1" x14ac:dyDescent="0.25">
      <c r="A104" s="68"/>
      <c r="B104" s="29" t="s">
        <v>122</v>
      </c>
      <c r="C104" s="25" t="s">
        <v>7</v>
      </c>
      <c r="D104" s="25" t="s">
        <v>7</v>
      </c>
      <c r="E104" s="25" t="s">
        <v>7</v>
      </c>
      <c r="F104" s="25" t="s">
        <v>7</v>
      </c>
      <c r="G104" s="25" t="s">
        <v>7</v>
      </c>
      <c r="H104" s="25" t="s">
        <v>7</v>
      </c>
      <c r="I104" s="25" t="s">
        <v>7</v>
      </c>
      <c r="J104" s="25" t="s">
        <v>7</v>
      </c>
      <c r="K104" s="25" t="s">
        <v>7</v>
      </c>
      <c r="L104" s="25" t="s">
        <v>7</v>
      </c>
      <c r="M104" s="25" t="s">
        <v>7</v>
      </c>
      <c r="N104" s="25" t="s">
        <v>7</v>
      </c>
      <c r="O104" s="64"/>
      <c r="W104" s="51"/>
    </row>
    <row r="105" spans="1:23" ht="15.75" customHeight="1" thickBot="1" x14ac:dyDescent="0.25">
      <c r="A105" s="30"/>
      <c r="O105" s="64"/>
    </row>
    <row r="106" spans="1:23" ht="15.75" customHeight="1" thickBot="1" x14ac:dyDescent="0.25">
      <c r="A106" s="87" t="s">
        <v>297</v>
      </c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9"/>
    </row>
    <row r="107" spans="1:23" x14ac:dyDescent="0.2">
      <c r="A107" s="66" t="s">
        <v>19</v>
      </c>
      <c r="B107" s="31" t="s">
        <v>123</v>
      </c>
      <c r="C107" s="23" t="s">
        <v>7</v>
      </c>
      <c r="D107" s="23" t="s">
        <v>7</v>
      </c>
      <c r="E107" s="23" t="s">
        <v>7</v>
      </c>
      <c r="F107" s="23" t="s">
        <v>7</v>
      </c>
      <c r="G107" s="23" t="s">
        <v>7</v>
      </c>
      <c r="H107" s="23" t="s">
        <v>7</v>
      </c>
      <c r="I107" s="23" t="s">
        <v>7</v>
      </c>
      <c r="J107" s="23" t="s">
        <v>7</v>
      </c>
      <c r="K107" s="23" t="s">
        <v>7</v>
      </c>
      <c r="L107" s="23" t="s">
        <v>7</v>
      </c>
      <c r="M107" s="23" t="s">
        <v>7</v>
      </c>
      <c r="N107" s="23" t="s">
        <v>7</v>
      </c>
      <c r="O107" s="91" t="s">
        <v>277</v>
      </c>
      <c r="P107" s="73" t="s">
        <v>278</v>
      </c>
      <c r="Q107" s="72" t="s">
        <v>279</v>
      </c>
      <c r="R107" s="81" t="s">
        <v>280</v>
      </c>
      <c r="S107" s="58" t="s">
        <v>281</v>
      </c>
      <c r="T107" s="74" t="s">
        <v>282</v>
      </c>
      <c r="U107" s="57" t="s">
        <v>283</v>
      </c>
      <c r="V107" s="53" t="s">
        <v>284</v>
      </c>
      <c r="W107" s="54" t="s">
        <v>285</v>
      </c>
    </row>
    <row r="108" spans="1:23" x14ac:dyDescent="0.2">
      <c r="A108" s="67"/>
      <c r="B108" s="4" t="s">
        <v>124</v>
      </c>
      <c r="C108" s="9" t="s">
        <v>7</v>
      </c>
      <c r="D108" s="9" t="s">
        <v>7</v>
      </c>
      <c r="E108" s="9" t="s">
        <v>7</v>
      </c>
      <c r="F108" s="9" t="s">
        <v>7</v>
      </c>
      <c r="G108" s="9" t="s">
        <v>7</v>
      </c>
      <c r="H108" s="9" t="s">
        <v>7</v>
      </c>
      <c r="I108" s="9" t="s">
        <v>7</v>
      </c>
      <c r="J108" s="9" t="s">
        <v>7</v>
      </c>
      <c r="K108" s="9" t="s">
        <v>7</v>
      </c>
      <c r="L108" s="9" t="s">
        <v>7</v>
      </c>
      <c r="M108" s="9" t="s">
        <v>7</v>
      </c>
      <c r="N108" s="9" t="s">
        <v>7</v>
      </c>
      <c r="O108" s="64"/>
      <c r="P108" s="62"/>
      <c r="Q108" s="51"/>
      <c r="R108" s="51"/>
      <c r="S108" s="51"/>
      <c r="T108" s="51"/>
      <c r="U108" s="51"/>
      <c r="V108" s="51"/>
      <c r="W108" s="51"/>
    </row>
    <row r="109" spans="1:23" x14ac:dyDescent="0.2">
      <c r="A109" s="67"/>
      <c r="B109" s="4" t="s">
        <v>125</v>
      </c>
      <c r="C109" s="9" t="s">
        <v>7</v>
      </c>
      <c r="D109" s="9" t="s">
        <v>7</v>
      </c>
      <c r="E109" s="9" t="s">
        <v>7</v>
      </c>
      <c r="F109" s="9" t="s">
        <v>7</v>
      </c>
      <c r="G109" s="9" t="s">
        <v>7</v>
      </c>
      <c r="H109" s="9" t="s">
        <v>7</v>
      </c>
      <c r="I109" s="9" t="s">
        <v>7</v>
      </c>
      <c r="J109" s="9" t="s">
        <v>7</v>
      </c>
      <c r="K109" s="9" t="s">
        <v>7</v>
      </c>
      <c r="L109" s="9" t="s">
        <v>7</v>
      </c>
      <c r="M109" s="9" t="s">
        <v>7</v>
      </c>
      <c r="N109" s="9" t="s">
        <v>7</v>
      </c>
      <c r="O109" s="64"/>
      <c r="P109" s="62"/>
      <c r="Q109" s="51"/>
      <c r="R109" s="51"/>
      <c r="S109" s="51"/>
      <c r="T109" s="51"/>
      <c r="U109" s="51"/>
      <c r="V109" s="51"/>
      <c r="W109" s="51"/>
    </row>
    <row r="110" spans="1:23" x14ac:dyDescent="0.2">
      <c r="A110" s="67"/>
      <c r="B110" s="4" t="s">
        <v>298</v>
      </c>
      <c r="C110" s="9" t="s">
        <v>7</v>
      </c>
      <c r="D110" s="9" t="s">
        <v>7</v>
      </c>
      <c r="E110" s="9" t="s">
        <v>7</v>
      </c>
      <c r="F110" s="9" t="s">
        <v>7</v>
      </c>
      <c r="G110" s="9" t="s">
        <v>7</v>
      </c>
      <c r="H110" s="9" t="s">
        <v>7</v>
      </c>
      <c r="I110" s="9" t="s">
        <v>7</v>
      </c>
      <c r="J110" s="9" t="s">
        <v>7</v>
      </c>
      <c r="K110" s="9" t="s">
        <v>7</v>
      </c>
      <c r="L110" s="9" t="s">
        <v>7</v>
      </c>
      <c r="M110" s="9" t="s">
        <v>7</v>
      </c>
      <c r="N110" s="9" t="s">
        <v>7</v>
      </c>
      <c r="O110" s="64"/>
      <c r="P110" s="62"/>
      <c r="Q110" s="51"/>
      <c r="R110" s="51"/>
      <c r="S110" s="51"/>
      <c r="T110" s="51"/>
      <c r="U110" s="51"/>
      <c r="V110" s="51"/>
      <c r="W110" s="51"/>
    </row>
    <row r="111" spans="1:23" x14ac:dyDescent="0.2">
      <c r="A111" s="67"/>
      <c r="B111" s="4" t="s">
        <v>127</v>
      </c>
      <c r="C111" s="9" t="s">
        <v>7</v>
      </c>
      <c r="D111" s="9" t="s">
        <v>7</v>
      </c>
      <c r="E111" s="9" t="s">
        <v>7</v>
      </c>
      <c r="F111" s="9" t="s">
        <v>7</v>
      </c>
      <c r="G111" s="9" t="s">
        <v>7</v>
      </c>
      <c r="H111" s="9" t="s">
        <v>7</v>
      </c>
      <c r="I111" s="9" t="s">
        <v>7</v>
      </c>
      <c r="J111" s="9" t="s">
        <v>7</v>
      </c>
      <c r="K111" s="9" t="s">
        <v>7</v>
      </c>
      <c r="L111" s="9" t="s">
        <v>7</v>
      </c>
      <c r="M111" s="9" t="s">
        <v>7</v>
      </c>
      <c r="N111" s="9" t="s">
        <v>7</v>
      </c>
      <c r="O111" s="71"/>
      <c r="P111" s="62"/>
      <c r="Q111" s="51"/>
      <c r="R111" s="51"/>
      <c r="S111" s="51"/>
      <c r="T111" s="51"/>
      <c r="U111" s="51"/>
      <c r="V111" s="51"/>
      <c r="W111" s="51"/>
    </row>
    <row r="112" spans="1:23" x14ac:dyDescent="0.2">
      <c r="A112" s="67"/>
      <c r="B112" s="4" t="s">
        <v>128</v>
      </c>
      <c r="C112" s="9" t="s">
        <v>7</v>
      </c>
      <c r="D112" s="9" t="s">
        <v>7</v>
      </c>
      <c r="E112" s="9" t="s">
        <v>7</v>
      </c>
      <c r="F112" s="9" t="s">
        <v>7</v>
      </c>
      <c r="G112" s="9" t="s">
        <v>7</v>
      </c>
      <c r="H112" s="9" t="s">
        <v>7</v>
      </c>
      <c r="I112" s="9" t="s">
        <v>7</v>
      </c>
      <c r="J112" s="9" t="s">
        <v>7</v>
      </c>
      <c r="K112" s="9" t="s">
        <v>7</v>
      </c>
      <c r="L112" s="9" t="s">
        <v>7</v>
      </c>
      <c r="M112" s="9" t="s">
        <v>7</v>
      </c>
      <c r="N112" s="9" t="s">
        <v>7</v>
      </c>
      <c r="O112" s="51"/>
      <c r="P112" s="62"/>
      <c r="Q112" s="51"/>
      <c r="R112" s="51"/>
      <c r="S112" s="51"/>
      <c r="T112" s="51"/>
      <c r="U112" s="51"/>
      <c r="V112" s="51"/>
      <c r="W112" s="51"/>
    </row>
    <row r="113" spans="1:23" x14ac:dyDescent="0.2">
      <c r="A113" s="67"/>
      <c r="B113" s="4" t="s">
        <v>129</v>
      </c>
      <c r="C113" s="9" t="s">
        <v>7</v>
      </c>
      <c r="D113" s="9" t="s">
        <v>7</v>
      </c>
      <c r="E113" s="9" t="s">
        <v>7</v>
      </c>
      <c r="F113" s="9" t="s">
        <v>7</v>
      </c>
      <c r="G113" s="9" t="s">
        <v>7</v>
      </c>
      <c r="H113" s="9" t="s">
        <v>7</v>
      </c>
      <c r="I113" s="9" t="s">
        <v>7</v>
      </c>
      <c r="J113" s="9" t="s">
        <v>7</v>
      </c>
      <c r="K113" s="9" t="s">
        <v>7</v>
      </c>
      <c r="L113" s="9" t="s">
        <v>7</v>
      </c>
      <c r="M113" s="9" t="s">
        <v>7</v>
      </c>
      <c r="N113" s="9" t="s">
        <v>7</v>
      </c>
      <c r="O113" s="51"/>
      <c r="P113" s="44"/>
      <c r="Q113" s="51"/>
      <c r="R113" s="51"/>
      <c r="S113" s="51"/>
      <c r="T113" s="51"/>
      <c r="U113" s="51"/>
      <c r="V113" s="51"/>
      <c r="W113" s="51"/>
    </row>
    <row r="114" spans="1:23" x14ac:dyDescent="0.2">
      <c r="A114" s="67"/>
      <c r="B114" s="4" t="s">
        <v>32</v>
      </c>
      <c r="C114" s="9" t="s">
        <v>7</v>
      </c>
      <c r="D114" s="9" t="s">
        <v>7</v>
      </c>
      <c r="E114" s="9" t="s">
        <v>7</v>
      </c>
      <c r="F114" s="9" t="s">
        <v>7</v>
      </c>
      <c r="G114" s="9" t="s">
        <v>7</v>
      </c>
      <c r="H114" s="9" t="s">
        <v>7</v>
      </c>
      <c r="I114" s="9" t="s">
        <v>7</v>
      </c>
      <c r="J114" s="9" t="s">
        <v>7</v>
      </c>
      <c r="K114" s="9" t="s">
        <v>7</v>
      </c>
      <c r="L114" s="9" t="s">
        <v>7</v>
      </c>
      <c r="M114" s="9" t="s">
        <v>7</v>
      </c>
      <c r="N114" s="9" t="s">
        <v>7</v>
      </c>
      <c r="O114" s="51"/>
      <c r="P114" s="44"/>
      <c r="Q114" s="51"/>
      <c r="R114" s="51"/>
      <c r="S114" s="51"/>
      <c r="T114" s="51"/>
      <c r="U114" s="51"/>
      <c r="V114" s="51"/>
      <c r="W114" s="51"/>
    </row>
    <row r="115" spans="1:23" x14ac:dyDescent="0.2">
      <c r="A115" s="67"/>
      <c r="B115" s="4" t="s">
        <v>130</v>
      </c>
      <c r="C115" s="9" t="s">
        <v>7</v>
      </c>
      <c r="D115" s="9" t="s">
        <v>7</v>
      </c>
      <c r="E115" s="9" t="s">
        <v>7</v>
      </c>
      <c r="F115" s="9" t="s">
        <v>7</v>
      </c>
      <c r="G115" s="9" t="s">
        <v>7</v>
      </c>
      <c r="H115" s="9" t="s">
        <v>7</v>
      </c>
      <c r="I115" s="9" t="s">
        <v>7</v>
      </c>
      <c r="J115" s="9" t="s">
        <v>7</v>
      </c>
      <c r="K115" s="9" t="s">
        <v>7</v>
      </c>
      <c r="L115" s="9" t="s">
        <v>7</v>
      </c>
      <c r="M115" s="9" t="s">
        <v>7</v>
      </c>
      <c r="N115" s="9" t="s">
        <v>7</v>
      </c>
      <c r="O115" s="51"/>
      <c r="P115" s="44"/>
      <c r="Q115" s="51"/>
      <c r="R115" s="51"/>
      <c r="S115" s="51"/>
      <c r="T115" s="51"/>
      <c r="U115" s="51"/>
      <c r="V115" s="51"/>
      <c r="W115" s="51"/>
    </row>
    <row r="116" spans="1:23" x14ac:dyDescent="0.2">
      <c r="A116" s="67"/>
      <c r="B116" s="4" t="s">
        <v>299</v>
      </c>
      <c r="C116" s="9" t="s">
        <v>7</v>
      </c>
      <c r="D116" s="9" t="s">
        <v>7</v>
      </c>
      <c r="E116" s="9" t="s">
        <v>7</v>
      </c>
      <c r="F116" s="9" t="s">
        <v>7</v>
      </c>
      <c r="G116" s="9" t="s">
        <v>7</v>
      </c>
      <c r="H116" s="9" t="s">
        <v>7</v>
      </c>
      <c r="I116" s="9" t="s">
        <v>7</v>
      </c>
      <c r="J116" s="9" t="s">
        <v>7</v>
      </c>
      <c r="K116" s="9" t="s">
        <v>7</v>
      </c>
      <c r="L116" s="9" t="s">
        <v>7</v>
      </c>
      <c r="M116" s="9" t="s">
        <v>7</v>
      </c>
      <c r="N116" s="9" t="s">
        <v>7</v>
      </c>
      <c r="O116" s="51"/>
      <c r="P116" s="44"/>
      <c r="Q116" s="44"/>
      <c r="R116" s="51"/>
      <c r="S116" s="51"/>
      <c r="T116" s="51"/>
      <c r="U116" s="51"/>
      <c r="V116" s="51"/>
      <c r="W116" s="51"/>
    </row>
    <row r="117" spans="1:23" x14ac:dyDescent="0.2">
      <c r="A117" s="67"/>
      <c r="B117" s="4" t="s">
        <v>132</v>
      </c>
      <c r="C117" s="9" t="s">
        <v>7</v>
      </c>
      <c r="D117" s="9" t="s">
        <v>7</v>
      </c>
      <c r="E117" s="9" t="s">
        <v>7</v>
      </c>
      <c r="F117" s="9" t="s">
        <v>7</v>
      </c>
      <c r="G117" s="9" t="s">
        <v>7</v>
      </c>
      <c r="H117" s="9" t="s">
        <v>7</v>
      </c>
      <c r="I117" s="9" t="s">
        <v>7</v>
      </c>
      <c r="J117" s="9" t="s">
        <v>7</v>
      </c>
      <c r="K117" s="9" t="s">
        <v>7</v>
      </c>
      <c r="L117" s="9" t="s">
        <v>7</v>
      </c>
      <c r="M117" s="9" t="s">
        <v>7</v>
      </c>
      <c r="N117" s="9" t="s">
        <v>7</v>
      </c>
      <c r="O117" s="51"/>
      <c r="P117" s="44"/>
      <c r="Q117" s="44"/>
      <c r="R117" s="44"/>
      <c r="S117" s="51"/>
      <c r="T117" s="51"/>
      <c r="U117" s="51"/>
      <c r="V117" s="51"/>
      <c r="W117" s="51"/>
    </row>
    <row r="118" spans="1:23" x14ac:dyDescent="0.2">
      <c r="A118" s="67"/>
      <c r="B118" s="4" t="s">
        <v>133</v>
      </c>
      <c r="C118" s="9" t="s">
        <v>7</v>
      </c>
      <c r="D118" s="9" t="s">
        <v>7</v>
      </c>
      <c r="E118" s="9" t="s">
        <v>7</v>
      </c>
      <c r="F118" s="9" t="s">
        <v>7</v>
      </c>
      <c r="G118" s="9" t="s">
        <v>7</v>
      </c>
      <c r="H118" s="9" t="s">
        <v>7</v>
      </c>
      <c r="I118" s="9" t="s">
        <v>7</v>
      </c>
      <c r="J118" s="9" t="s">
        <v>7</v>
      </c>
      <c r="K118" s="9" t="s">
        <v>7</v>
      </c>
      <c r="L118" s="9" t="s">
        <v>7</v>
      </c>
      <c r="M118" s="9" t="s">
        <v>7</v>
      </c>
      <c r="N118" s="9" t="s">
        <v>7</v>
      </c>
      <c r="O118" s="51"/>
      <c r="P118" s="44"/>
      <c r="Q118" s="44"/>
      <c r="R118" s="44"/>
      <c r="S118" s="44"/>
      <c r="T118" s="51"/>
      <c r="U118" s="51"/>
      <c r="V118" s="51"/>
      <c r="W118" s="51"/>
    </row>
    <row r="119" spans="1:23" x14ac:dyDescent="0.2">
      <c r="A119" s="67"/>
      <c r="B119" s="4" t="s">
        <v>134</v>
      </c>
      <c r="C119" s="9" t="s">
        <v>7</v>
      </c>
      <c r="D119" s="9" t="s">
        <v>7</v>
      </c>
      <c r="E119" s="9" t="s">
        <v>7</v>
      </c>
      <c r="F119" s="9" t="s">
        <v>7</v>
      </c>
      <c r="G119" s="9" t="s">
        <v>7</v>
      </c>
      <c r="H119" s="9" t="s">
        <v>7</v>
      </c>
      <c r="I119" s="9" t="s">
        <v>7</v>
      </c>
      <c r="J119" s="9" t="s">
        <v>7</v>
      </c>
      <c r="K119" s="9" t="s">
        <v>7</v>
      </c>
      <c r="L119" s="9" t="s">
        <v>7</v>
      </c>
      <c r="M119" s="9" t="s">
        <v>7</v>
      </c>
      <c r="N119" s="9" t="s">
        <v>7</v>
      </c>
      <c r="O119" s="51"/>
      <c r="P119" s="44"/>
      <c r="Q119" s="44"/>
      <c r="R119" s="44"/>
      <c r="S119" s="44"/>
      <c r="T119" s="44"/>
      <c r="U119" s="51"/>
      <c r="V119" s="51"/>
      <c r="W119" s="51"/>
    </row>
    <row r="120" spans="1:23" x14ac:dyDescent="0.2">
      <c r="A120" s="67"/>
      <c r="B120" s="4" t="s">
        <v>135</v>
      </c>
      <c r="C120" s="9" t="s">
        <v>7</v>
      </c>
      <c r="D120" s="9" t="s">
        <v>7</v>
      </c>
      <c r="E120" s="9" t="s">
        <v>7</v>
      </c>
      <c r="F120" s="9" t="s">
        <v>7</v>
      </c>
      <c r="G120" s="9" t="s">
        <v>7</v>
      </c>
      <c r="H120" s="9" t="s">
        <v>7</v>
      </c>
      <c r="I120" s="9" t="s">
        <v>7</v>
      </c>
      <c r="J120" s="9" t="s">
        <v>7</v>
      </c>
      <c r="K120" s="9" t="s">
        <v>7</v>
      </c>
      <c r="L120" s="9" t="s">
        <v>7</v>
      </c>
      <c r="M120" s="9" t="s">
        <v>7</v>
      </c>
      <c r="N120" s="9" t="s">
        <v>7</v>
      </c>
      <c r="O120" s="51"/>
      <c r="P120" s="44"/>
      <c r="Q120" s="44"/>
      <c r="R120" s="44"/>
      <c r="S120" s="44"/>
      <c r="T120" s="44"/>
      <c r="U120" s="44"/>
      <c r="V120" s="51"/>
      <c r="W120" s="51"/>
    </row>
    <row r="121" spans="1:23" ht="15.75" customHeight="1" thickBot="1" x14ac:dyDescent="0.25">
      <c r="A121" s="68"/>
      <c r="B121" s="32" t="s">
        <v>136</v>
      </c>
      <c r="C121" s="25" t="s">
        <v>7</v>
      </c>
      <c r="D121" s="25" t="s">
        <v>7</v>
      </c>
      <c r="E121" s="25" t="s">
        <v>7</v>
      </c>
      <c r="F121" s="25" t="s">
        <v>7</v>
      </c>
      <c r="G121" s="25" t="s">
        <v>7</v>
      </c>
      <c r="H121" s="25" t="s">
        <v>7</v>
      </c>
      <c r="I121" s="25" t="s">
        <v>7</v>
      </c>
      <c r="J121" s="25" t="s">
        <v>7</v>
      </c>
      <c r="K121" s="25" t="s">
        <v>7</v>
      </c>
      <c r="L121" s="25" t="s">
        <v>7</v>
      </c>
      <c r="M121" s="25" t="s">
        <v>7</v>
      </c>
      <c r="N121" s="25" t="s">
        <v>7</v>
      </c>
      <c r="O121" s="51"/>
      <c r="P121" s="45"/>
      <c r="Q121" s="44"/>
      <c r="R121" s="44"/>
      <c r="S121" s="44"/>
      <c r="T121" s="44"/>
      <c r="U121" s="44"/>
      <c r="V121" s="44"/>
      <c r="W121" s="51"/>
    </row>
    <row r="122" spans="1:23" x14ac:dyDescent="0.2">
      <c r="A122" s="66" t="s">
        <v>20</v>
      </c>
      <c r="B122" s="31" t="s">
        <v>137</v>
      </c>
      <c r="C122" s="23" t="s">
        <v>7</v>
      </c>
      <c r="D122" s="23" t="s">
        <v>7</v>
      </c>
      <c r="E122" s="23" t="s">
        <v>7</v>
      </c>
      <c r="F122" s="23" t="s">
        <v>7</v>
      </c>
      <c r="G122" s="23" t="s">
        <v>7</v>
      </c>
      <c r="H122" s="23" t="s">
        <v>7</v>
      </c>
      <c r="I122" s="23" t="s">
        <v>7</v>
      </c>
      <c r="J122" s="23" t="s">
        <v>7</v>
      </c>
      <c r="K122" s="23" t="s">
        <v>7</v>
      </c>
      <c r="L122" s="23" t="s">
        <v>7</v>
      </c>
      <c r="M122" s="23" t="s">
        <v>7</v>
      </c>
      <c r="N122" s="23" t="s">
        <v>7</v>
      </c>
      <c r="O122" s="91" t="s">
        <v>277</v>
      </c>
      <c r="P122" s="73" t="s">
        <v>278</v>
      </c>
      <c r="Q122" s="72" t="s">
        <v>279</v>
      </c>
      <c r="R122" s="81" t="s">
        <v>280</v>
      </c>
      <c r="S122" s="58" t="s">
        <v>281</v>
      </c>
      <c r="T122" s="74" t="s">
        <v>282</v>
      </c>
      <c r="U122" s="57" t="s">
        <v>283</v>
      </c>
      <c r="V122" s="53" t="s">
        <v>284</v>
      </c>
      <c r="W122" s="54" t="s">
        <v>285</v>
      </c>
    </row>
    <row r="123" spans="1:23" x14ac:dyDescent="0.2">
      <c r="A123" s="67"/>
      <c r="B123" s="4" t="s">
        <v>300</v>
      </c>
      <c r="C123" s="9" t="s">
        <v>7</v>
      </c>
      <c r="D123" s="9" t="s">
        <v>7</v>
      </c>
      <c r="E123" s="9" t="s">
        <v>7</v>
      </c>
      <c r="F123" s="9" t="s">
        <v>7</v>
      </c>
      <c r="G123" s="9" t="s">
        <v>7</v>
      </c>
      <c r="H123" s="9" t="s">
        <v>7</v>
      </c>
      <c r="I123" s="9" t="s">
        <v>7</v>
      </c>
      <c r="J123" s="9" t="s">
        <v>7</v>
      </c>
      <c r="K123" s="9" t="s">
        <v>7</v>
      </c>
      <c r="L123" s="9" t="s">
        <v>7</v>
      </c>
      <c r="M123" s="9" t="s">
        <v>7</v>
      </c>
      <c r="N123" s="9" t="s">
        <v>7</v>
      </c>
      <c r="O123" s="64"/>
      <c r="P123" s="62"/>
      <c r="Q123" s="51"/>
      <c r="R123" s="51"/>
      <c r="S123" s="51"/>
      <c r="T123" s="51"/>
      <c r="U123" s="51"/>
      <c r="V123" s="51"/>
      <c r="W123" s="51"/>
    </row>
    <row r="124" spans="1:23" x14ac:dyDescent="0.2">
      <c r="A124" s="67"/>
      <c r="B124" s="4" t="s">
        <v>139</v>
      </c>
      <c r="C124" s="9" t="s">
        <v>7</v>
      </c>
      <c r="D124" s="9" t="s">
        <v>7</v>
      </c>
      <c r="E124" s="9" t="s">
        <v>7</v>
      </c>
      <c r="F124" s="9" t="s">
        <v>7</v>
      </c>
      <c r="G124" s="9" t="s">
        <v>7</v>
      </c>
      <c r="H124" s="9" t="s">
        <v>7</v>
      </c>
      <c r="I124" s="9" t="s">
        <v>7</v>
      </c>
      <c r="J124" s="9" t="s">
        <v>7</v>
      </c>
      <c r="K124" s="9" t="s">
        <v>7</v>
      </c>
      <c r="L124" s="9" t="s">
        <v>7</v>
      </c>
      <c r="M124" s="9" t="s">
        <v>7</v>
      </c>
      <c r="N124" s="9" t="s">
        <v>7</v>
      </c>
      <c r="O124" s="71"/>
      <c r="P124" s="62"/>
      <c r="Q124" s="51"/>
      <c r="R124" s="51"/>
      <c r="S124" s="51"/>
      <c r="T124" s="51"/>
      <c r="U124" s="51"/>
      <c r="V124" s="51"/>
      <c r="W124" s="51"/>
    </row>
    <row r="125" spans="1:23" x14ac:dyDescent="0.2">
      <c r="A125" s="67"/>
      <c r="B125" s="4" t="s">
        <v>140</v>
      </c>
      <c r="C125" s="9" t="s">
        <v>7</v>
      </c>
      <c r="D125" s="9" t="s">
        <v>7</v>
      </c>
      <c r="E125" s="9" t="s">
        <v>7</v>
      </c>
      <c r="F125" s="9" t="s">
        <v>7</v>
      </c>
      <c r="G125" s="9" t="s">
        <v>7</v>
      </c>
      <c r="H125" s="9" t="s">
        <v>7</v>
      </c>
      <c r="I125" s="9" t="s">
        <v>7</v>
      </c>
      <c r="J125" s="9" t="s">
        <v>7</v>
      </c>
      <c r="K125" s="9" t="s">
        <v>7</v>
      </c>
      <c r="L125" s="9" t="s">
        <v>7</v>
      </c>
      <c r="M125" s="9" t="s">
        <v>7</v>
      </c>
      <c r="N125" s="9" t="s">
        <v>7</v>
      </c>
      <c r="O125" s="51"/>
      <c r="P125" s="44"/>
      <c r="Q125" s="51"/>
      <c r="R125" s="51"/>
      <c r="S125" s="51"/>
      <c r="T125" s="51"/>
      <c r="U125" s="51"/>
      <c r="V125" s="51"/>
      <c r="W125" s="51"/>
    </row>
    <row r="126" spans="1:23" x14ac:dyDescent="0.2">
      <c r="A126" s="67"/>
      <c r="B126" s="4" t="s">
        <v>141</v>
      </c>
      <c r="C126" s="9" t="s">
        <v>7</v>
      </c>
      <c r="D126" s="9" t="s">
        <v>7</v>
      </c>
      <c r="E126" s="9" t="s">
        <v>7</v>
      </c>
      <c r="F126" s="9" t="s">
        <v>7</v>
      </c>
      <c r="G126" s="9" t="s">
        <v>7</v>
      </c>
      <c r="H126" s="9" t="s">
        <v>7</v>
      </c>
      <c r="I126" s="9" t="s">
        <v>7</v>
      </c>
      <c r="J126" s="9" t="s">
        <v>7</v>
      </c>
      <c r="K126" s="9" t="s">
        <v>7</v>
      </c>
      <c r="L126" s="9" t="s">
        <v>7</v>
      </c>
      <c r="M126" s="9" t="s">
        <v>7</v>
      </c>
      <c r="N126" s="9" t="s">
        <v>7</v>
      </c>
      <c r="O126" s="51"/>
      <c r="P126" s="44"/>
      <c r="Q126" s="51"/>
      <c r="R126" s="51"/>
      <c r="S126" s="51"/>
      <c r="T126" s="51"/>
      <c r="U126" s="51"/>
      <c r="V126" s="51"/>
      <c r="W126" s="51"/>
    </row>
    <row r="127" spans="1:23" x14ac:dyDescent="0.2">
      <c r="A127" s="67"/>
      <c r="B127" s="4" t="s">
        <v>142</v>
      </c>
      <c r="C127" s="9" t="s">
        <v>7</v>
      </c>
      <c r="D127" s="9" t="s">
        <v>7</v>
      </c>
      <c r="E127" s="9" t="s">
        <v>7</v>
      </c>
      <c r="F127" s="9" t="s">
        <v>7</v>
      </c>
      <c r="G127" s="9" t="s">
        <v>7</v>
      </c>
      <c r="H127" s="9" t="s">
        <v>7</v>
      </c>
      <c r="I127" s="9" t="s">
        <v>7</v>
      </c>
      <c r="J127" s="9" t="s">
        <v>7</v>
      </c>
      <c r="K127" s="9" t="s">
        <v>7</v>
      </c>
      <c r="L127" s="9" t="s">
        <v>7</v>
      </c>
      <c r="M127" s="9" t="s">
        <v>7</v>
      </c>
      <c r="N127" s="9" t="s">
        <v>7</v>
      </c>
      <c r="O127" s="51"/>
      <c r="P127" s="44"/>
      <c r="Q127" s="44"/>
      <c r="R127" s="51"/>
      <c r="S127" s="51"/>
      <c r="T127" s="51"/>
      <c r="U127" s="51"/>
      <c r="V127" s="51"/>
      <c r="W127" s="51"/>
    </row>
    <row r="128" spans="1:23" x14ac:dyDescent="0.2">
      <c r="A128" s="67"/>
      <c r="B128" s="4" t="s">
        <v>143</v>
      </c>
      <c r="C128" s="9" t="s">
        <v>7</v>
      </c>
      <c r="D128" s="9" t="s">
        <v>7</v>
      </c>
      <c r="E128" s="9" t="s">
        <v>7</v>
      </c>
      <c r="F128" s="9" t="s">
        <v>7</v>
      </c>
      <c r="G128" s="9" t="s">
        <v>7</v>
      </c>
      <c r="H128" s="9" t="s">
        <v>7</v>
      </c>
      <c r="I128" s="9" t="s">
        <v>7</v>
      </c>
      <c r="J128" s="9" t="s">
        <v>7</v>
      </c>
      <c r="K128" s="9" t="s">
        <v>7</v>
      </c>
      <c r="L128" s="9" t="s">
        <v>7</v>
      </c>
      <c r="M128" s="9" t="s">
        <v>7</v>
      </c>
      <c r="N128" s="9" t="s">
        <v>7</v>
      </c>
      <c r="O128" s="51"/>
      <c r="P128" s="44"/>
      <c r="Q128" s="44"/>
      <c r="R128" s="51"/>
      <c r="S128" s="51"/>
      <c r="T128" s="51"/>
      <c r="U128" s="51"/>
      <c r="V128" s="51"/>
      <c r="W128" s="51"/>
    </row>
    <row r="129" spans="1:23" x14ac:dyDescent="0.2">
      <c r="A129" s="67"/>
      <c r="B129" s="4" t="s">
        <v>301</v>
      </c>
      <c r="C129" s="9" t="s">
        <v>7</v>
      </c>
      <c r="D129" s="9" t="s">
        <v>7</v>
      </c>
      <c r="E129" s="9" t="s">
        <v>7</v>
      </c>
      <c r="F129" s="9" t="s">
        <v>7</v>
      </c>
      <c r="G129" s="9" t="s">
        <v>7</v>
      </c>
      <c r="H129" s="9" t="s">
        <v>7</v>
      </c>
      <c r="I129" s="9" t="s">
        <v>7</v>
      </c>
      <c r="J129" s="9" t="s">
        <v>7</v>
      </c>
      <c r="K129" s="9" t="s">
        <v>7</v>
      </c>
      <c r="L129" s="9" t="s">
        <v>7</v>
      </c>
      <c r="M129" s="9" t="s">
        <v>7</v>
      </c>
      <c r="N129" s="9" t="s">
        <v>7</v>
      </c>
      <c r="O129" s="51"/>
      <c r="P129" s="44"/>
      <c r="Q129" s="44"/>
      <c r="R129" s="51"/>
      <c r="S129" s="51"/>
      <c r="T129" s="51"/>
      <c r="U129" s="51"/>
      <c r="V129" s="51"/>
      <c r="W129" s="51"/>
    </row>
    <row r="130" spans="1:23" x14ac:dyDescent="0.2">
      <c r="A130" s="67"/>
      <c r="B130" s="4" t="s">
        <v>145</v>
      </c>
      <c r="C130" s="9" t="s">
        <v>7</v>
      </c>
      <c r="D130" s="9" t="s">
        <v>7</v>
      </c>
      <c r="E130" s="9" t="s">
        <v>7</v>
      </c>
      <c r="F130" s="9" t="s">
        <v>7</v>
      </c>
      <c r="G130" s="9" t="s">
        <v>7</v>
      </c>
      <c r="H130" s="9" t="s">
        <v>7</v>
      </c>
      <c r="I130" s="9" t="s">
        <v>7</v>
      </c>
      <c r="J130" s="9" t="s">
        <v>7</v>
      </c>
      <c r="K130" s="9" t="s">
        <v>7</v>
      </c>
      <c r="L130" s="9" t="s">
        <v>7</v>
      </c>
      <c r="M130" s="9" t="s">
        <v>7</v>
      </c>
      <c r="N130" s="9" t="s">
        <v>7</v>
      </c>
      <c r="O130" s="51"/>
      <c r="P130" s="44"/>
      <c r="Q130" s="44"/>
      <c r="R130" s="44"/>
      <c r="S130" s="51"/>
      <c r="T130" s="51"/>
      <c r="U130" s="51"/>
      <c r="V130" s="51"/>
      <c r="W130" s="51"/>
    </row>
    <row r="131" spans="1:23" x14ac:dyDescent="0.2">
      <c r="A131" s="67"/>
      <c r="B131" s="4" t="s">
        <v>146</v>
      </c>
      <c r="C131" s="9" t="s">
        <v>7</v>
      </c>
      <c r="D131" s="9" t="s">
        <v>7</v>
      </c>
      <c r="E131" s="9" t="s">
        <v>7</v>
      </c>
      <c r="F131" s="9" t="s">
        <v>7</v>
      </c>
      <c r="G131" s="9" t="s">
        <v>7</v>
      </c>
      <c r="H131" s="9" t="s">
        <v>7</v>
      </c>
      <c r="I131" s="9" t="s">
        <v>7</v>
      </c>
      <c r="J131" s="9" t="s">
        <v>7</v>
      </c>
      <c r="K131" s="9" t="s">
        <v>7</v>
      </c>
      <c r="L131" s="9" t="s">
        <v>7</v>
      </c>
      <c r="M131" s="9" t="s">
        <v>7</v>
      </c>
      <c r="N131" s="9" t="s">
        <v>7</v>
      </c>
      <c r="O131" s="51"/>
      <c r="P131" s="44"/>
      <c r="Q131" s="44"/>
      <c r="R131" s="44"/>
      <c r="S131" s="51"/>
      <c r="T131" s="51"/>
      <c r="U131" s="51"/>
      <c r="V131" s="51"/>
      <c r="W131" s="51"/>
    </row>
    <row r="132" spans="1:23" x14ac:dyDescent="0.2">
      <c r="A132" s="67"/>
      <c r="B132" s="4" t="s">
        <v>147</v>
      </c>
      <c r="C132" s="9" t="s">
        <v>7</v>
      </c>
      <c r="D132" s="9" t="s">
        <v>7</v>
      </c>
      <c r="E132" s="9" t="s">
        <v>7</v>
      </c>
      <c r="F132" s="9" t="s">
        <v>7</v>
      </c>
      <c r="G132" s="9" t="s">
        <v>7</v>
      </c>
      <c r="H132" s="9" t="s">
        <v>7</v>
      </c>
      <c r="I132" s="9" t="s">
        <v>7</v>
      </c>
      <c r="J132" s="9" t="s">
        <v>7</v>
      </c>
      <c r="K132" s="9" t="s">
        <v>7</v>
      </c>
      <c r="L132" s="9" t="s">
        <v>7</v>
      </c>
      <c r="M132" s="9" t="s">
        <v>7</v>
      </c>
      <c r="N132" s="9" t="s">
        <v>7</v>
      </c>
      <c r="O132" s="51"/>
      <c r="P132" s="44"/>
      <c r="Q132" s="44"/>
      <c r="R132" s="44"/>
      <c r="S132" s="51"/>
      <c r="T132" s="51"/>
      <c r="U132" s="51"/>
      <c r="V132" s="51"/>
      <c r="W132" s="51"/>
    </row>
    <row r="133" spans="1:23" x14ac:dyDescent="0.2">
      <c r="A133" s="67"/>
      <c r="B133" s="4" t="s">
        <v>302</v>
      </c>
      <c r="C133" s="9" t="s">
        <v>7</v>
      </c>
      <c r="D133" s="9" t="s">
        <v>7</v>
      </c>
      <c r="E133" s="9" t="s">
        <v>7</v>
      </c>
      <c r="F133" s="9" t="s">
        <v>7</v>
      </c>
      <c r="G133" s="9" t="s">
        <v>7</v>
      </c>
      <c r="H133" s="9" t="s">
        <v>7</v>
      </c>
      <c r="I133" s="9" t="s">
        <v>7</v>
      </c>
      <c r="J133" s="9" t="s">
        <v>7</v>
      </c>
      <c r="K133" s="9" t="s">
        <v>7</v>
      </c>
      <c r="L133" s="9" t="s">
        <v>7</v>
      </c>
      <c r="M133" s="9" t="s">
        <v>7</v>
      </c>
      <c r="N133" s="9" t="s">
        <v>7</v>
      </c>
      <c r="O133" s="51"/>
      <c r="P133" s="44"/>
      <c r="Q133" s="44"/>
      <c r="R133" s="44"/>
      <c r="S133" s="44"/>
      <c r="T133" s="51"/>
      <c r="U133" s="51"/>
      <c r="V133" s="51"/>
      <c r="W133" s="51"/>
    </row>
    <row r="134" spans="1:23" x14ac:dyDescent="0.2">
      <c r="A134" s="67"/>
      <c r="B134" s="4" t="s">
        <v>303</v>
      </c>
      <c r="C134" s="9" t="s">
        <v>7</v>
      </c>
      <c r="D134" s="9" t="s">
        <v>7</v>
      </c>
      <c r="E134" s="9" t="s">
        <v>7</v>
      </c>
      <c r="F134" s="9" t="s">
        <v>7</v>
      </c>
      <c r="G134" s="9" t="s">
        <v>7</v>
      </c>
      <c r="H134" s="9" t="s">
        <v>7</v>
      </c>
      <c r="I134" s="9" t="s">
        <v>7</v>
      </c>
      <c r="J134" s="9" t="s">
        <v>7</v>
      </c>
      <c r="K134" s="9" t="s">
        <v>7</v>
      </c>
      <c r="L134" s="9" t="s">
        <v>7</v>
      </c>
      <c r="M134" s="9" t="s">
        <v>7</v>
      </c>
      <c r="N134" s="9" t="s">
        <v>7</v>
      </c>
      <c r="O134" s="51"/>
      <c r="P134" s="44"/>
      <c r="Q134" s="44"/>
      <c r="R134" s="44"/>
      <c r="S134" s="44"/>
      <c r="T134" s="51"/>
      <c r="U134" s="51"/>
      <c r="V134" s="51"/>
      <c r="W134" s="51"/>
    </row>
    <row r="135" spans="1:23" x14ac:dyDescent="0.2">
      <c r="A135" s="67"/>
      <c r="B135" s="4" t="s">
        <v>150</v>
      </c>
      <c r="C135" s="9" t="s">
        <v>7</v>
      </c>
      <c r="D135" s="9" t="s">
        <v>7</v>
      </c>
      <c r="E135" s="9" t="s">
        <v>7</v>
      </c>
      <c r="F135" s="9" t="s">
        <v>7</v>
      </c>
      <c r="G135" s="9" t="s">
        <v>7</v>
      </c>
      <c r="H135" s="9" t="s">
        <v>7</v>
      </c>
      <c r="I135" s="9" t="s">
        <v>7</v>
      </c>
      <c r="J135" s="9" t="s">
        <v>7</v>
      </c>
      <c r="K135" s="9" t="s">
        <v>7</v>
      </c>
      <c r="L135" s="9" t="s">
        <v>7</v>
      </c>
      <c r="M135" s="9" t="s">
        <v>7</v>
      </c>
      <c r="N135" s="9" t="s">
        <v>7</v>
      </c>
      <c r="O135" s="51"/>
      <c r="P135" s="44"/>
      <c r="Q135" s="44"/>
      <c r="R135" s="44"/>
      <c r="S135" s="44"/>
      <c r="T135" s="44"/>
      <c r="U135" s="51"/>
      <c r="V135" s="51"/>
      <c r="W135" s="51"/>
    </row>
    <row r="136" spans="1:23" x14ac:dyDescent="0.2">
      <c r="A136" s="67"/>
      <c r="B136" s="4" t="s">
        <v>151</v>
      </c>
      <c r="C136" s="9" t="s">
        <v>7</v>
      </c>
      <c r="D136" s="9" t="s">
        <v>7</v>
      </c>
      <c r="E136" s="9" t="s">
        <v>7</v>
      </c>
      <c r="F136" s="9" t="s">
        <v>7</v>
      </c>
      <c r="G136" s="9" t="s">
        <v>7</v>
      </c>
      <c r="H136" s="9" t="s">
        <v>7</v>
      </c>
      <c r="I136" s="9" t="s">
        <v>7</v>
      </c>
      <c r="J136" s="9" t="s">
        <v>7</v>
      </c>
      <c r="K136" s="9" t="s">
        <v>7</v>
      </c>
      <c r="L136" s="9" t="s">
        <v>7</v>
      </c>
      <c r="M136" s="9" t="s">
        <v>7</v>
      </c>
      <c r="N136" s="9" t="s">
        <v>7</v>
      </c>
      <c r="O136" s="51"/>
      <c r="P136" s="45"/>
      <c r="Q136" s="44"/>
      <c r="R136" s="44"/>
      <c r="S136" s="44"/>
      <c r="T136" s="44"/>
      <c r="U136" s="44"/>
      <c r="V136" s="51"/>
      <c r="W136" s="51"/>
    </row>
    <row r="137" spans="1:23" x14ac:dyDescent="0.2">
      <c r="A137" s="67"/>
      <c r="B137" s="4" t="s">
        <v>152</v>
      </c>
      <c r="C137" s="9" t="s">
        <v>7</v>
      </c>
      <c r="D137" s="9" t="s">
        <v>7</v>
      </c>
      <c r="E137" s="9" t="s">
        <v>7</v>
      </c>
      <c r="F137" s="9" t="s">
        <v>7</v>
      </c>
      <c r="G137" s="9" t="s">
        <v>7</v>
      </c>
      <c r="H137" s="9" t="s">
        <v>7</v>
      </c>
      <c r="I137" s="9" t="s">
        <v>7</v>
      </c>
      <c r="J137" s="9" t="s">
        <v>7</v>
      </c>
      <c r="K137" s="9" t="s">
        <v>7</v>
      </c>
      <c r="L137" s="9" t="s">
        <v>7</v>
      </c>
      <c r="M137" s="9" t="s">
        <v>7</v>
      </c>
      <c r="N137" s="9" t="s">
        <v>7</v>
      </c>
      <c r="O137" s="51"/>
      <c r="V137" s="51"/>
      <c r="W137" s="51"/>
    </row>
    <row r="138" spans="1:23" x14ac:dyDescent="0.2">
      <c r="A138" s="67"/>
      <c r="B138" s="4" t="s">
        <v>153</v>
      </c>
      <c r="C138" s="9" t="s">
        <v>7</v>
      </c>
      <c r="D138" s="9" t="s">
        <v>7</v>
      </c>
      <c r="E138" s="9" t="s">
        <v>7</v>
      </c>
      <c r="F138" s="9" t="s">
        <v>7</v>
      </c>
      <c r="G138" s="9" t="s">
        <v>7</v>
      </c>
      <c r="H138" s="9" t="s">
        <v>7</v>
      </c>
      <c r="I138" s="9" t="s">
        <v>7</v>
      </c>
      <c r="J138" s="9" t="s">
        <v>7</v>
      </c>
      <c r="K138" s="9" t="s">
        <v>7</v>
      </c>
      <c r="L138" s="9" t="s">
        <v>7</v>
      </c>
      <c r="M138" s="9" t="s">
        <v>7</v>
      </c>
      <c r="N138" s="9" t="s">
        <v>7</v>
      </c>
      <c r="O138" s="51"/>
      <c r="W138" s="51"/>
    </row>
    <row r="139" spans="1:23" x14ac:dyDescent="0.2">
      <c r="A139" s="67"/>
      <c r="B139" s="4" t="s">
        <v>154</v>
      </c>
      <c r="C139" s="9" t="s">
        <v>7</v>
      </c>
      <c r="D139" s="9" t="s">
        <v>7</v>
      </c>
      <c r="E139" s="9" t="s">
        <v>7</v>
      </c>
      <c r="F139" s="9" t="s">
        <v>7</v>
      </c>
      <c r="G139" s="9" t="s">
        <v>7</v>
      </c>
      <c r="H139" s="9" t="s">
        <v>7</v>
      </c>
      <c r="I139" s="9" t="s">
        <v>7</v>
      </c>
      <c r="J139" s="9" t="s">
        <v>7</v>
      </c>
      <c r="K139" s="9" t="s">
        <v>7</v>
      </c>
      <c r="L139" s="9" t="s">
        <v>7</v>
      </c>
      <c r="M139" s="9" t="s">
        <v>7</v>
      </c>
      <c r="N139" s="9" t="s">
        <v>7</v>
      </c>
      <c r="O139" s="51"/>
      <c r="W139" s="51"/>
    </row>
    <row r="140" spans="1:23" x14ac:dyDescent="0.2">
      <c r="A140" s="67"/>
      <c r="B140" s="4" t="s">
        <v>155</v>
      </c>
      <c r="C140" s="9" t="s">
        <v>7</v>
      </c>
      <c r="D140" s="9" t="s">
        <v>7</v>
      </c>
      <c r="E140" s="9" t="s">
        <v>7</v>
      </c>
      <c r="F140" s="9" t="s">
        <v>7</v>
      </c>
      <c r="G140" s="9" t="s">
        <v>7</v>
      </c>
      <c r="H140" s="9" t="s">
        <v>7</v>
      </c>
      <c r="I140" s="9" t="s">
        <v>7</v>
      </c>
      <c r="J140" s="9" t="s">
        <v>7</v>
      </c>
      <c r="K140" s="9" t="s">
        <v>7</v>
      </c>
      <c r="L140" s="9" t="s">
        <v>7</v>
      </c>
      <c r="M140" s="9" t="s">
        <v>7</v>
      </c>
      <c r="N140" s="9" t="s">
        <v>7</v>
      </c>
      <c r="O140" s="51"/>
      <c r="W140" s="51"/>
    </row>
    <row r="141" spans="1:23" ht="15.75" customHeight="1" thickBot="1" x14ac:dyDescent="0.25">
      <c r="A141" s="68"/>
      <c r="B141" s="32" t="s">
        <v>156</v>
      </c>
      <c r="C141" s="25" t="s">
        <v>7</v>
      </c>
      <c r="D141" s="25" t="s">
        <v>7</v>
      </c>
      <c r="E141" s="25" t="s">
        <v>7</v>
      </c>
      <c r="F141" s="25" t="s">
        <v>7</v>
      </c>
      <c r="G141" s="25" t="s">
        <v>7</v>
      </c>
      <c r="H141" s="25" t="s">
        <v>7</v>
      </c>
      <c r="I141" s="25" t="s">
        <v>7</v>
      </c>
      <c r="J141" s="25" t="s">
        <v>7</v>
      </c>
      <c r="K141" s="25" t="s">
        <v>7</v>
      </c>
      <c r="L141" s="25" t="s">
        <v>7</v>
      </c>
      <c r="M141" s="25" t="s">
        <v>7</v>
      </c>
      <c r="N141" s="25" t="s">
        <v>7</v>
      </c>
      <c r="O141" s="51"/>
      <c r="W141" s="51"/>
    </row>
    <row r="142" spans="1:23" ht="15.75" customHeight="1" thickBot="1" x14ac:dyDescent="0.25">
      <c r="A142" s="30"/>
      <c r="O142" s="43"/>
      <c r="P142" s="43"/>
      <c r="Q142" s="43"/>
      <c r="R142" s="43"/>
      <c r="S142" s="43"/>
      <c r="T142" s="43"/>
      <c r="U142" s="43"/>
      <c r="V142" s="43"/>
      <c r="W142" s="48"/>
    </row>
    <row r="143" spans="1:23" ht="15.75" customHeight="1" thickBot="1" x14ac:dyDescent="0.25">
      <c r="A143" s="99" t="s">
        <v>304</v>
      </c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</row>
    <row r="144" spans="1:23" x14ac:dyDescent="0.2">
      <c r="A144" s="66" t="s">
        <v>21</v>
      </c>
      <c r="B144" s="33" t="s">
        <v>157</v>
      </c>
      <c r="C144" s="23" t="s">
        <v>7</v>
      </c>
      <c r="D144" s="23" t="s">
        <v>7</v>
      </c>
      <c r="E144" s="23" t="s">
        <v>7</v>
      </c>
      <c r="F144" s="23" t="s">
        <v>7</v>
      </c>
      <c r="G144" s="23" t="s">
        <v>7</v>
      </c>
      <c r="H144" s="23" t="s">
        <v>7</v>
      </c>
      <c r="I144" s="23" t="s">
        <v>7</v>
      </c>
      <c r="J144" s="23" t="s">
        <v>7</v>
      </c>
      <c r="K144" s="23" t="s">
        <v>7</v>
      </c>
      <c r="L144" s="23" t="s">
        <v>7</v>
      </c>
      <c r="M144" s="23" t="s">
        <v>7</v>
      </c>
      <c r="N144" s="23" t="s">
        <v>7</v>
      </c>
      <c r="O144" s="79" t="s">
        <v>277</v>
      </c>
      <c r="P144" s="86" t="s">
        <v>278</v>
      </c>
      <c r="Q144" s="72" t="s">
        <v>279</v>
      </c>
      <c r="R144" s="81" t="s">
        <v>280</v>
      </c>
      <c r="S144" s="58" t="s">
        <v>281</v>
      </c>
      <c r="T144" s="74" t="s">
        <v>282</v>
      </c>
      <c r="U144" s="57" t="s">
        <v>283</v>
      </c>
      <c r="V144" s="53" t="s">
        <v>284</v>
      </c>
      <c r="W144" s="54" t="s">
        <v>285</v>
      </c>
    </row>
    <row r="145" spans="1:23" x14ac:dyDescent="0.2">
      <c r="A145" s="67"/>
      <c r="B145" s="5" t="s">
        <v>305</v>
      </c>
      <c r="C145" s="9" t="s">
        <v>7</v>
      </c>
      <c r="D145" s="9" t="s">
        <v>7</v>
      </c>
      <c r="E145" s="9" t="s">
        <v>7</v>
      </c>
      <c r="F145" s="9" t="s">
        <v>7</v>
      </c>
      <c r="G145" s="9" t="s">
        <v>7</v>
      </c>
      <c r="H145" s="9" t="s">
        <v>7</v>
      </c>
      <c r="I145" s="9" t="s">
        <v>7</v>
      </c>
      <c r="J145" s="9" t="s">
        <v>7</v>
      </c>
      <c r="K145" s="9" t="s">
        <v>7</v>
      </c>
      <c r="L145" s="9" t="s">
        <v>7</v>
      </c>
      <c r="M145" s="9" t="s">
        <v>7</v>
      </c>
      <c r="N145" s="9" t="s">
        <v>7</v>
      </c>
      <c r="O145" s="51"/>
      <c r="P145" s="51"/>
      <c r="Q145" s="51"/>
      <c r="R145" s="51"/>
      <c r="S145" s="51"/>
      <c r="T145" s="51"/>
      <c r="U145" s="51"/>
      <c r="V145" s="51"/>
      <c r="W145" s="51"/>
    </row>
    <row r="146" spans="1:23" x14ac:dyDescent="0.2">
      <c r="A146" s="67"/>
      <c r="B146" s="5" t="s">
        <v>306</v>
      </c>
      <c r="C146" s="9" t="s">
        <v>7</v>
      </c>
      <c r="D146" s="9" t="s">
        <v>7</v>
      </c>
      <c r="E146" s="9" t="s">
        <v>7</v>
      </c>
      <c r="F146" s="9" t="s">
        <v>7</v>
      </c>
      <c r="G146" s="9" t="s">
        <v>7</v>
      </c>
      <c r="H146" s="9" t="s">
        <v>7</v>
      </c>
      <c r="I146" s="9" t="s">
        <v>7</v>
      </c>
      <c r="J146" s="9" t="s">
        <v>7</v>
      </c>
      <c r="K146" s="9" t="s">
        <v>7</v>
      </c>
      <c r="L146" s="9" t="s">
        <v>7</v>
      </c>
      <c r="M146" s="9" t="s">
        <v>7</v>
      </c>
      <c r="N146" s="9" t="s">
        <v>7</v>
      </c>
      <c r="O146" s="51"/>
      <c r="P146" s="51"/>
      <c r="Q146" s="51"/>
      <c r="R146" s="51"/>
      <c r="S146" s="51"/>
      <c r="T146" s="51"/>
      <c r="U146" s="51"/>
      <c r="V146" s="51"/>
      <c r="W146" s="51"/>
    </row>
    <row r="147" spans="1:23" x14ac:dyDescent="0.2">
      <c r="A147" s="67"/>
      <c r="B147" s="5" t="s">
        <v>160</v>
      </c>
      <c r="C147" s="9" t="s">
        <v>7</v>
      </c>
      <c r="D147" s="9" t="s">
        <v>7</v>
      </c>
      <c r="E147" s="9" t="s">
        <v>7</v>
      </c>
      <c r="F147" s="9" t="s">
        <v>7</v>
      </c>
      <c r="G147" s="9" t="s">
        <v>7</v>
      </c>
      <c r="H147" s="9" t="s">
        <v>7</v>
      </c>
      <c r="I147" s="9" t="s">
        <v>7</v>
      </c>
      <c r="J147" s="9" t="s">
        <v>7</v>
      </c>
      <c r="K147" s="9" t="s">
        <v>7</v>
      </c>
      <c r="L147" s="9" t="s">
        <v>7</v>
      </c>
      <c r="M147" s="9" t="s">
        <v>7</v>
      </c>
      <c r="N147" s="9" t="s">
        <v>7</v>
      </c>
      <c r="O147" s="82"/>
      <c r="P147" s="51"/>
      <c r="Q147" s="51"/>
      <c r="R147" s="51"/>
      <c r="S147" s="51"/>
      <c r="T147" s="51"/>
      <c r="U147" s="51"/>
      <c r="V147" s="51"/>
      <c r="W147" s="51"/>
    </row>
    <row r="148" spans="1:23" x14ac:dyDescent="0.2">
      <c r="A148" s="67"/>
      <c r="B148" s="5" t="s">
        <v>161</v>
      </c>
      <c r="C148" s="9" t="s">
        <v>7</v>
      </c>
      <c r="D148" s="9" t="s">
        <v>7</v>
      </c>
      <c r="E148" s="9" t="s">
        <v>7</v>
      </c>
      <c r="F148" s="9" t="s">
        <v>7</v>
      </c>
      <c r="G148" s="9" t="s">
        <v>7</v>
      </c>
      <c r="H148" s="9" t="s">
        <v>7</v>
      </c>
      <c r="I148" s="9" t="s">
        <v>7</v>
      </c>
      <c r="J148" s="9" t="s">
        <v>7</v>
      </c>
      <c r="K148" s="9" t="s">
        <v>7</v>
      </c>
      <c r="L148" s="9" t="s">
        <v>7</v>
      </c>
      <c r="M148" s="9" t="s">
        <v>7</v>
      </c>
      <c r="N148" s="9" t="s">
        <v>7</v>
      </c>
      <c r="O148" s="77"/>
      <c r="P148" s="51"/>
      <c r="Q148" s="51"/>
      <c r="R148" s="51"/>
      <c r="S148" s="51"/>
      <c r="T148" s="51"/>
      <c r="U148" s="51"/>
      <c r="V148" s="51"/>
      <c r="W148" s="51"/>
    </row>
    <row r="149" spans="1:23" x14ac:dyDescent="0.2">
      <c r="A149" s="67"/>
      <c r="B149" s="5" t="s">
        <v>162</v>
      </c>
      <c r="C149" s="9" t="s">
        <v>7</v>
      </c>
      <c r="D149" s="9" t="s">
        <v>7</v>
      </c>
      <c r="E149" s="9" t="s">
        <v>7</v>
      </c>
      <c r="F149" s="9" t="s">
        <v>7</v>
      </c>
      <c r="G149" s="9" t="s">
        <v>7</v>
      </c>
      <c r="H149" s="9" t="s">
        <v>7</v>
      </c>
      <c r="I149" s="9" t="s">
        <v>7</v>
      </c>
      <c r="J149" s="9" t="s">
        <v>7</v>
      </c>
      <c r="K149" s="9" t="s">
        <v>7</v>
      </c>
      <c r="L149" s="9" t="s">
        <v>7</v>
      </c>
      <c r="M149" s="9" t="s">
        <v>7</v>
      </c>
      <c r="N149" s="9" t="s">
        <v>7</v>
      </c>
      <c r="O149" s="77"/>
      <c r="P149" s="44"/>
      <c r="Q149" s="51"/>
      <c r="R149" s="51"/>
      <c r="S149" s="51"/>
      <c r="T149" s="51"/>
      <c r="U149" s="51"/>
      <c r="V149" s="51"/>
      <c r="W149" s="51"/>
    </row>
    <row r="150" spans="1:23" ht="15.75" customHeight="1" thickBot="1" x14ac:dyDescent="0.25">
      <c r="A150" s="68"/>
      <c r="B150" s="34" t="s">
        <v>163</v>
      </c>
      <c r="C150" s="25" t="s">
        <v>7</v>
      </c>
      <c r="D150" s="25" t="s">
        <v>7</v>
      </c>
      <c r="E150" s="25" t="s">
        <v>7</v>
      </c>
      <c r="F150" s="25" t="s">
        <v>7</v>
      </c>
      <c r="G150" s="25" t="s">
        <v>7</v>
      </c>
      <c r="H150" s="25" t="s">
        <v>7</v>
      </c>
      <c r="I150" s="25" t="s">
        <v>7</v>
      </c>
      <c r="J150" s="25" t="s">
        <v>7</v>
      </c>
      <c r="K150" s="25" t="s">
        <v>7</v>
      </c>
      <c r="L150" s="25" t="s">
        <v>7</v>
      </c>
      <c r="M150" s="25" t="s">
        <v>7</v>
      </c>
      <c r="N150" s="25" t="s">
        <v>7</v>
      </c>
      <c r="O150" s="77"/>
      <c r="P150" s="44"/>
      <c r="Q150" s="51"/>
      <c r="R150" s="51"/>
      <c r="S150" s="51"/>
      <c r="T150" s="51"/>
      <c r="U150" s="51"/>
      <c r="V150" s="51"/>
      <c r="W150" s="51"/>
    </row>
    <row r="151" spans="1:23" x14ac:dyDescent="0.2">
      <c r="A151" s="66" t="s">
        <v>22</v>
      </c>
      <c r="B151" s="33" t="s">
        <v>164</v>
      </c>
      <c r="C151" s="23" t="s">
        <v>7</v>
      </c>
      <c r="D151" s="23" t="s">
        <v>7</v>
      </c>
      <c r="E151" s="23" t="s">
        <v>7</v>
      </c>
      <c r="F151" s="23" t="s">
        <v>7</v>
      </c>
      <c r="G151" s="23" t="s">
        <v>7</v>
      </c>
      <c r="H151" s="23" t="s">
        <v>7</v>
      </c>
      <c r="I151" s="23" t="s">
        <v>7</v>
      </c>
      <c r="J151" s="23" t="s">
        <v>7</v>
      </c>
      <c r="K151" s="23" t="s">
        <v>7</v>
      </c>
      <c r="L151" s="23" t="s">
        <v>7</v>
      </c>
      <c r="M151" s="23" t="s">
        <v>7</v>
      </c>
      <c r="N151" s="23" t="s">
        <v>7</v>
      </c>
      <c r="O151" s="77"/>
      <c r="P151" s="44"/>
      <c r="Q151" s="51"/>
      <c r="R151" s="51"/>
      <c r="S151" s="51"/>
      <c r="T151" s="51"/>
      <c r="U151" s="51"/>
      <c r="V151" s="51"/>
      <c r="W151" s="51"/>
    </row>
    <row r="152" spans="1:23" x14ac:dyDescent="0.2">
      <c r="A152" s="67"/>
      <c r="B152" s="5" t="s">
        <v>47</v>
      </c>
      <c r="C152" s="9" t="s">
        <v>7</v>
      </c>
      <c r="D152" s="9" t="s">
        <v>7</v>
      </c>
      <c r="E152" s="9" t="s">
        <v>7</v>
      </c>
      <c r="F152" s="9" t="s">
        <v>7</v>
      </c>
      <c r="G152" s="9" t="s">
        <v>7</v>
      </c>
      <c r="H152" s="9" t="s">
        <v>7</v>
      </c>
      <c r="I152" s="9" t="s">
        <v>7</v>
      </c>
      <c r="J152" s="9" t="s">
        <v>7</v>
      </c>
      <c r="K152" s="9" t="s">
        <v>7</v>
      </c>
      <c r="L152" s="9" t="s">
        <v>7</v>
      </c>
      <c r="M152" s="9" t="s">
        <v>7</v>
      </c>
      <c r="N152" s="9" t="s">
        <v>7</v>
      </c>
      <c r="O152" s="77"/>
      <c r="P152" s="44"/>
      <c r="Q152" s="44"/>
      <c r="R152" s="51"/>
      <c r="S152" s="51"/>
      <c r="T152" s="51"/>
      <c r="U152" s="51"/>
      <c r="V152" s="51"/>
      <c r="W152" s="51"/>
    </row>
    <row r="153" spans="1:23" x14ac:dyDescent="0.2">
      <c r="A153" s="67"/>
      <c r="B153" s="5" t="s">
        <v>165</v>
      </c>
      <c r="C153" s="9" t="s">
        <v>7</v>
      </c>
      <c r="D153" s="9" t="s">
        <v>7</v>
      </c>
      <c r="E153" s="9" t="s">
        <v>7</v>
      </c>
      <c r="F153" s="9" t="s">
        <v>7</v>
      </c>
      <c r="G153" s="9" t="s">
        <v>7</v>
      </c>
      <c r="H153" s="9" t="s">
        <v>7</v>
      </c>
      <c r="I153" s="9" t="s">
        <v>7</v>
      </c>
      <c r="J153" s="9" t="s">
        <v>7</v>
      </c>
      <c r="K153" s="9" t="s">
        <v>7</v>
      </c>
      <c r="L153" s="9" t="s">
        <v>7</v>
      </c>
      <c r="M153" s="9" t="s">
        <v>7</v>
      </c>
      <c r="N153" s="9" t="s">
        <v>7</v>
      </c>
      <c r="O153" s="77"/>
      <c r="P153" s="44"/>
      <c r="Q153" s="44"/>
      <c r="R153" s="51"/>
      <c r="S153" s="51"/>
      <c r="T153" s="51"/>
      <c r="U153" s="51"/>
      <c r="V153" s="51"/>
      <c r="W153" s="51"/>
    </row>
    <row r="154" spans="1:23" x14ac:dyDescent="0.2">
      <c r="A154" s="67"/>
      <c r="B154" s="5" t="s">
        <v>166</v>
      </c>
      <c r="C154" s="9" t="s">
        <v>7</v>
      </c>
      <c r="D154" s="9" t="s">
        <v>7</v>
      </c>
      <c r="E154" s="9" t="s">
        <v>7</v>
      </c>
      <c r="F154" s="9" t="s">
        <v>7</v>
      </c>
      <c r="G154" s="9" t="s">
        <v>7</v>
      </c>
      <c r="H154" s="9" t="s">
        <v>7</v>
      </c>
      <c r="I154" s="9" t="s">
        <v>7</v>
      </c>
      <c r="J154" s="9" t="s">
        <v>7</v>
      </c>
      <c r="K154" s="9" t="s">
        <v>7</v>
      </c>
      <c r="L154" s="9" t="s">
        <v>7</v>
      </c>
      <c r="M154" s="9" t="s">
        <v>7</v>
      </c>
      <c r="N154" s="9" t="s">
        <v>7</v>
      </c>
      <c r="O154" s="77"/>
      <c r="P154" s="44"/>
      <c r="Q154" s="44"/>
      <c r="R154" s="44"/>
      <c r="S154" s="51"/>
      <c r="T154" s="51"/>
      <c r="U154" s="51"/>
      <c r="V154" s="51"/>
      <c r="W154" s="51"/>
    </row>
    <row r="155" spans="1:23" x14ac:dyDescent="0.2">
      <c r="A155" s="67"/>
      <c r="B155" s="5" t="s">
        <v>167</v>
      </c>
      <c r="C155" s="9" t="s">
        <v>7</v>
      </c>
      <c r="D155" s="9" t="s">
        <v>7</v>
      </c>
      <c r="E155" s="9" t="s">
        <v>7</v>
      </c>
      <c r="F155" s="9" t="s">
        <v>7</v>
      </c>
      <c r="G155" s="9" t="s">
        <v>7</v>
      </c>
      <c r="H155" s="9" t="s">
        <v>7</v>
      </c>
      <c r="I155" s="9" t="s">
        <v>7</v>
      </c>
      <c r="J155" s="9" t="s">
        <v>7</v>
      </c>
      <c r="K155" s="9" t="s">
        <v>7</v>
      </c>
      <c r="L155" s="9" t="s">
        <v>7</v>
      </c>
      <c r="M155" s="9" t="s">
        <v>7</v>
      </c>
      <c r="N155" s="9" t="s">
        <v>7</v>
      </c>
      <c r="O155" s="77"/>
      <c r="P155" s="44"/>
      <c r="Q155" s="44"/>
      <c r="R155" s="44"/>
      <c r="S155" s="51"/>
      <c r="T155" s="51"/>
      <c r="U155" s="51"/>
      <c r="V155" s="51"/>
      <c r="W155" s="51"/>
    </row>
    <row r="156" spans="1:23" x14ac:dyDescent="0.2">
      <c r="A156" s="67"/>
      <c r="B156" s="5" t="s">
        <v>168</v>
      </c>
      <c r="C156" s="9" t="s">
        <v>7</v>
      </c>
      <c r="D156" s="9" t="s">
        <v>7</v>
      </c>
      <c r="E156" s="9" t="s">
        <v>7</v>
      </c>
      <c r="F156" s="9" t="s">
        <v>7</v>
      </c>
      <c r="G156" s="9" t="s">
        <v>7</v>
      </c>
      <c r="H156" s="9" t="s">
        <v>7</v>
      </c>
      <c r="I156" s="9" t="s">
        <v>7</v>
      </c>
      <c r="J156" s="9" t="s">
        <v>7</v>
      </c>
      <c r="K156" s="9" t="s">
        <v>7</v>
      </c>
      <c r="L156" s="9" t="s">
        <v>7</v>
      </c>
      <c r="M156" s="9" t="s">
        <v>7</v>
      </c>
      <c r="N156" s="9" t="s">
        <v>7</v>
      </c>
      <c r="O156" s="77"/>
      <c r="P156" s="44"/>
      <c r="Q156" s="44"/>
      <c r="R156" s="44"/>
      <c r="S156" s="51"/>
      <c r="T156" s="51"/>
      <c r="U156" s="51"/>
      <c r="V156" s="51"/>
      <c r="W156" s="51"/>
    </row>
    <row r="157" spans="1:23" x14ac:dyDescent="0.2">
      <c r="A157" s="67"/>
      <c r="B157" s="5" t="s">
        <v>169</v>
      </c>
      <c r="C157" s="9" t="s">
        <v>7</v>
      </c>
      <c r="D157" s="9" t="s">
        <v>7</v>
      </c>
      <c r="E157" s="9" t="s">
        <v>7</v>
      </c>
      <c r="F157" s="9" t="s">
        <v>7</v>
      </c>
      <c r="G157" s="9" t="s">
        <v>7</v>
      </c>
      <c r="H157" s="9" t="s">
        <v>7</v>
      </c>
      <c r="I157" s="9" t="s">
        <v>7</v>
      </c>
      <c r="J157" s="9" t="s">
        <v>7</v>
      </c>
      <c r="K157" s="9" t="s">
        <v>7</v>
      </c>
      <c r="L157" s="9" t="s">
        <v>7</v>
      </c>
      <c r="M157" s="9" t="s">
        <v>7</v>
      </c>
      <c r="N157" s="9" t="s">
        <v>7</v>
      </c>
      <c r="O157" s="77"/>
      <c r="P157" s="44"/>
      <c r="Q157" s="44"/>
      <c r="R157" s="44"/>
      <c r="S157" s="44"/>
      <c r="T157" s="51"/>
      <c r="U157" s="51"/>
      <c r="V157" s="51"/>
      <c r="W157" s="51"/>
    </row>
    <row r="158" spans="1:23" x14ac:dyDescent="0.2">
      <c r="A158" s="67"/>
      <c r="B158" s="5" t="s">
        <v>170</v>
      </c>
      <c r="C158" s="9" t="s">
        <v>7</v>
      </c>
      <c r="D158" s="9" t="s">
        <v>7</v>
      </c>
      <c r="E158" s="9" t="s">
        <v>7</v>
      </c>
      <c r="F158" s="9" t="s">
        <v>7</v>
      </c>
      <c r="G158" s="9" t="s">
        <v>7</v>
      </c>
      <c r="H158" s="9" t="s">
        <v>7</v>
      </c>
      <c r="I158" s="9" t="s">
        <v>7</v>
      </c>
      <c r="J158" s="9" t="s">
        <v>7</v>
      </c>
      <c r="K158" s="9" t="s">
        <v>7</v>
      </c>
      <c r="L158" s="9" t="s">
        <v>7</v>
      </c>
      <c r="M158" s="9" t="s">
        <v>7</v>
      </c>
      <c r="N158" s="9" t="s">
        <v>7</v>
      </c>
      <c r="O158" s="77"/>
      <c r="P158" s="45"/>
      <c r="Q158" s="44"/>
      <c r="R158" s="44"/>
      <c r="S158" s="44"/>
      <c r="T158" s="44"/>
      <c r="U158" s="51"/>
      <c r="V158" s="51"/>
      <c r="W158" s="51"/>
    </row>
    <row r="159" spans="1:23" x14ac:dyDescent="0.2">
      <c r="A159" s="67"/>
      <c r="B159" s="5" t="s">
        <v>307</v>
      </c>
      <c r="C159" s="9" t="s">
        <v>7</v>
      </c>
      <c r="D159" s="9" t="s">
        <v>7</v>
      </c>
      <c r="E159" s="9" t="s">
        <v>7</v>
      </c>
      <c r="F159" s="9" t="s">
        <v>7</v>
      </c>
      <c r="G159" s="9" t="s">
        <v>7</v>
      </c>
      <c r="H159" s="9" t="s">
        <v>7</v>
      </c>
      <c r="I159" s="9" t="s">
        <v>7</v>
      </c>
      <c r="J159" s="9" t="s">
        <v>7</v>
      </c>
      <c r="K159" s="9" t="s">
        <v>7</v>
      </c>
      <c r="L159" s="9" t="s">
        <v>7</v>
      </c>
      <c r="M159" s="9" t="s">
        <v>7</v>
      </c>
      <c r="N159" s="9" t="s">
        <v>7</v>
      </c>
      <c r="O159" s="77"/>
      <c r="U159" s="51"/>
      <c r="V159" s="51"/>
      <c r="W159" s="51"/>
    </row>
    <row r="160" spans="1:23" x14ac:dyDescent="0.2">
      <c r="A160" s="67"/>
      <c r="B160" s="5" t="s">
        <v>172</v>
      </c>
      <c r="C160" s="9" t="s">
        <v>7</v>
      </c>
      <c r="D160" s="9" t="s">
        <v>7</v>
      </c>
      <c r="E160" s="9" t="s">
        <v>7</v>
      </c>
      <c r="F160" s="9" t="s">
        <v>7</v>
      </c>
      <c r="G160" s="9" t="s">
        <v>7</v>
      </c>
      <c r="H160" s="9" t="s">
        <v>7</v>
      </c>
      <c r="I160" s="9" t="s">
        <v>7</v>
      </c>
      <c r="J160" s="9" t="s">
        <v>7</v>
      </c>
      <c r="K160" s="9" t="s">
        <v>7</v>
      </c>
      <c r="L160" s="9" t="s">
        <v>7</v>
      </c>
      <c r="M160" s="9" t="s">
        <v>7</v>
      </c>
      <c r="N160" s="9" t="s">
        <v>7</v>
      </c>
      <c r="O160" s="77"/>
      <c r="U160" s="51"/>
      <c r="V160" s="51"/>
      <c r="W160" s="51"/>
    </row>
    <row r="161" spans="1:23" x14ac:dyDescent="0.2">
      <c r="A161" s="67"/>
      <c r="B161" s="5" t="s">
        <v>173</v>
      </c>
      <c r="C161" s="9" t="s">
        <v>7</v>
      </c>
      <c r="D161" s="9" t="s">
        <v>7</v>
      </c>
      <c r="E161" s="9" t="s">
        <v>7</v>
      </c>
      <c r="F161" s="9" t="s">
        <v>7</v>
      </c>
      <c r="G161" s="9" t="s">
        <v>7</v>
      </c>
      <c r="H161" s="9" t="s">
        <v>7</v>
      </c>
      <c r="I161" s="9" t="s">
        <v>7</v>
      </c>
      <c r="J161" s="9" t="s">
        <v>7</v>
      </c>
      <c r="K161" s="9" t="s">
        <v>7</v>
      </c>
      <c r="L161" s="9" t="s">
        <v>7</v>
      </c>
      <c r="M161" s="9" t="s">
        <v>7</v>
      </c>
      <c r="N161" s="9" t="s">
        <v>7</v>
      </c>
      <c r="O161" s="77"/>
      <c r="U161" s="51"/>
      <c r="V161" s="51"/>
      <c r="W161" s="51"/>
    </row>
    <row r="162" spans="1:23" x14ac:dyDescent="0.2">
      <c r="A162" s="67"/>
      <c r="B162" s="5" t="s">
        <v>174</v>
      </c>
      <c r="C162" s="9" t="s">
        <v>7</v>
      </c>
      <c r="D162" s="9" t="s">
        <v>7</v>
      </c>
      <c r="E162" s="9" t="s">
        <v>7</v>
      </c>
      <c r="F162" s="9" t="s">
        <v>7</v>
      </c>
      <c r="G162" s="9" t="s">
        <v>7</v>
      </c>
      <c r="H162" s="9" t="s">
        <v>7</v>
      </c>
      <c r="I162" s="9" t="s">
        <v>7</v>
      </c>
      <c r="J162" s="9" t="s">
        <v>7</v>
      </c>
      <c r="K162" s="9" t="s">
        <v>7</v>
      </c>
      <c r="L162" s="9" t="s">
        <v>7</v>
      </c>
      <c r="M162" s="9" t="s">
        <v>7</v>
      </c>
      <c r="N162" s="9" t="s">
        <v>7</v>
      </c>
      <c r="O162" s="77"/>
      <c r="U162" s="51"/>
      <c r="V162" s="51"/>
      <c r="W162" s="51"/>
    </row>
    <row r="163" spans="1:23" x14ac:dyDescent="0.2">
      <c r="A163" s="67"/>
      <c r="B163" s="5" t="s">
        <v>175</v>
      </c>
      <c r="C163" s="9" t="s">
        <v>7</v>
      </c>
      <c r="D163" s="9" t="s">
        <v>7</v>
      </c>
      <c r="E163" s="9" t="s">
        <v>7</v>
      </c>
      <c r="F163" s="9" t="s">
        <v>7</v>
      </c>
      <c r="G163" s="9" t="s">
        <v>7</v>
      </c>
      <c r="H163" s="9" t="s">
        <v>7</v>
      </c>
      <c r="I163" s="9" t="s">
        <v>7</v>
      </c>
      <c r="J163" s="9" t="s">
        <v>7</v>
      </c>
      <c r="K163" s="9" t="s">
        <v>7</v>
      </c>
      <c r="L163" s="9" t="s">
        <v>7</v>
      </c>
      <c r="M163" s="9" t="s">
        <v>7</v>
      </c>
      <c r="N163" s="9" t="s">
        <v>7</v>
      </c>
      <c r="O163" s="77"/>
      <c r="V163" s="51"/>
      <c r="W163" s="51"/>
    </row>
    <row r="164" spans="1:23" x14ac:dyDescent="0.2">
      <c r="A164" s="67"/>
      <c r="B164" s="5" t="s">
        <v>176</v>
      </c>
      <c r="C164" s="9" t="s">
        <v>7</v>
      </c>
      <c r="D164" s="9" t="s">
        <v>7</v>
      </c>
      <c r="E164" s="9" t="s">
        <v>7</v>
      </c>
      <c r="F164" s="9" t="s">
        <v>7</v>
      </c>
      <c r="G164" s="9" t="s">
        <v>7</v>
      </c>
      <c r="H164" s="9" t="s">
        <v>7</v>
      </c>
      <c r="I164" s="9" t="s">
        <v>7</v>
      </c>
      <c r="J164" s="9" t="s">
        <v>7</v>
      </c>
      <c r="K164" s="9" t="s">
        <v>7</v>
      </c>
      <c r="L164" s="9" t="s">
        <v>7</v>
      </c>
      <c r="M164" s="9" t="s">
        <v>7</v>
      </c>
      <c r="N164" s="9" t="s">
        <v>7</v>
      </c>
      <c r="O164" s="77"/>
      <c r="V164" s="51"/>
      <c r="W164" s="51"/>
    </row>
    <row r="165" spans="1:23" x14ac:dyDescent="0.2">
      <c r="A165" s="67"/>
      <c r="B165" s="5" t="s">
        <v>177</v>
      </c>
      <c r="C165" s="9" t="s">
        <v>7</v>
      </c>
      <c r="D165" s="9" t="s">
        <v>7</v>
      </c>
      <c r="E165" s="9" t="s">
        <v>7</v>
      </c>
      <c r="F165" s="9" t="s">
        <v>7</v>
      </c>
      <c r="G165" s="9" t="s">
        <v>7</v>
      </c>
      <c r="H165" s="9" t="s">
        <v>7</v>
      </c>
      <c r="I165" s="9" t="s">
        <v>7</v>
      </c>
      <c r="J165" s="9" t="s">
        <v>7</v>
      </c>
      <c r="K165" s="9" t="s">
        <v>7</v>
      </c>
      <c r="L165" s="9" t="s">
        <v>7</v>
      </c>
      <c r="M165" s="9" t="s">
        <v>7</v>
      </c>
      <c r="N165" s="9" t="s">
        <v>7</v>
      </c>
      <c r="O165" s="77"/>
      <c r="W165" s="51"/>
    </row>
    <row r="166" spans="1:23" x14ac:dyDescent="0.2">
      <c r="A166" s="67"/>
      <c r="B166" s="5" t="s">
        <v>178</v>
      </c>
      <c r="C166" s="9" t="s">
        <v>7</v>
      </c>
      <c r="D166" s="9" t="s">
        <v>7</v>
      </c>
      <c r="E166" s="9" t="s">
        <v>7</v>
      </c>
      <c r="F166" s="9" t="s">
        <v>7</v>
      </c>
      <c r="G166" s="9" t="s">
        <v>7</v>
      </c>
      <c r="H166" s="9" t="s">
        <v>7</v>
      </c>
      <c r="I166" s="9" t="s">
        <v>7</v>
      </c>
      <c r="J166" s="9" t="s">
        <v>7</v>
      </c>
      <c r="K166" s="9" t="s">
        <v>7</v>
      </c>
      <c r="L166" s="9" t="s">
        <v>7</v>
      </c>
      <c r="M166" s="9" t="s">
        <v>7</v>
      </c>
      <c r="N166" s="9" t="s">
        <v>7</v>
      </c>
      <c r="O166" s="77"/>
      <c r="W166" s="51"/>
    </row>
    <row r="167" spans="1:23" x14ac:dyDescent="0.2">
      <c r="A167" s="67"/>
      <c r="B167" s="5" t="s">
        <v>179</v>
      </c>
      <c r="C167" s="9" t="s">
        <v>7</v>
      </c>
      <c r="D167" s="9" t="s">
        <v>7</v>
      </c>
      <c r="E167" s="9" t="s">
        <v>7</v>
      </c>
      <c r="F167" s="9" t="s">
        <v>7</v>
      </c>
      <c r="G167" s="9" t="s">
        <v>7</v>
      </c>
      <c r="H167" s="9" t="s">
        <v>7</v>
      </c>
      <c r="I167" s="9" t="s">
        <v>7</v>
      </c>
      <c r="J167" s="9" t="s">
        <v>7</v>
      </c>
      <c r="K167" s="9" t="s">
        <v>7</v>
      </c>
      <c r="L167" s="9" t="s">
        <v>7</v>
      </c>
      <c r="M167" s="9" t="s">
        <v>7</v>
      </c>
      <c r="N167" s="9" t="s">
        <v>7</v>
      </c>
      <c r="O167" s="77"/>
      <c r="W167" s="51"/>
    </row>
    <row r="168" spans="1:23" x14ac:dyDescent="0.2">
      <c r="A168" s="67"/>
      <c r="B168" s="5" t="s">
        <v>180</v>
      </c>
      <c r="C168" s="9" t="s">
        <v>7</v>
      </c>
      <c r="D168" s="9" t="s">
        <v>7</v>
      </c>
      <c r="E168" s="9" t="s">
        <v>7</v>
      </c>
      <c r="F168" s="9" t="s">
        <v>7</v>
      </c>
      <c r="G168" s="9" t="s">
        <v>7</v>
      </c>
      <c r="H168" s="9" t="s">
        <v>7</v>
      </c>
      <c r="I168" s="9" t="s">
        <v>7</v>
      </c>
      <c r="J168" s="9" t="s">
        <v>7</v>
      </c>
      <c r="K168" s="9" t="s">
        <v>7</v>
      </c>
      <c r="L168" s="9" t="s">
        <v>7</v>
      </c>
      <c r="M168" s="9" t="s">
        <v>7</v>
      </c>
      <c r="N168" s="9" t="s">
        <v>7</v>
      </c>
      <c r="O168" s="77"/>
      <c r="W168" s="51"/>
    </row>
    <row r="169" spans="1:23" x14ac:dyDescent="0.2">
      <c r="A169" s="67"/>
      <c r="B169" s="5" t="s">
        <v>181</v>
      </c>
      <c r="C169" s="9" t="s">
        <v>7</v>
      </c>
      <c r="D169" s="9" t="s">
        <v>7</v>
      </c>
      <c r="E169" s="9" t="s">
        <v>7</v>
      </c>
      <c r="F169" s="9" t="s">
        <v>7</v>
      </c>
      <c r="G169" s="9" t="s">
        <v>7</v>
      </c>
      <c r="H169" s="9" t="s">
        <v>7</v>
      </c>
      <c r="I169" s="9" t="s">
        <v>7</v>
      </c>
      <c r="J169" s="9" t="s">
        <v>7</v>
      </c>
      <c r="K169" s="9" t="s">
        <v>7</v>
      </c>
      <c r="L169" s="9" t="s">
        <v>7</v>
      </c>
      <c r="M169" s="9" t="s">
        <v>7</v>
      </c>
      <c r="N169" s="9" t="s">
        <v>7</v>
      </c>
      <c r="O169" s="77"/>
      <c r="W169" s="51"/>
    </row>
    <row r="170" spans="1:23" x14ac:dyDescent="0.2">
      <c r="A170" s="67"/>
      <c r="B170" s="5" t="s">
        <v>182</v>
      </c>
      <c r="C170" s="9" t="s">
        <v>7</v>
      </c>
      <c r="D170" s="9" t="s">
        <v>7</v>
      </c>
      <c r="E170" s="9" t="s">
        <v>7</v>
      </c>
      <c r="F170" s="9" t="s">
        <v>7</v>
      </c>
      <c r="G170" s="9" t="s">
        <v>7</v>
      </c>
      <c r="H170" s="9" t="s">
        <v>7</v>
      </c>
      <c r="I170" s="9" t="s">
        <v>7</v>
      </c>
      <c r="J170" s="9" t="s">
        <v>7</v>
      </c>
      <c r="K170" s="9" t="s">
        <v>7</v>
      </c>
      <c r="L170" s="9" t="s">
        <v>7</v>
      </c>
      <c r="M170" s="9" t="s">
        <v>7</v>
      </c>
      <c r="N170" s="9" t="s">
        <v>7</v>
      </c>
      <c r="O170" s="77"/>
      <c r="W170" s="51"/>
    </row>
    <row r="171" spans="1:23" x14ac:dyDescent="0.2">
      <c r="A171" s="67"/>
      <c r="B171" s="5" t="s">
        <v>183</v>
      </c>
      <c r="C171" s="9" t="s">
        <v>7</v>
      </c>
      <c r="D171" s="9" t="s">
        <v>7</v>
      </c>
      <c r="E171" s="9" t="s">
        <v>7</v>
      </c>
      <c r="F171" s="9" t="s">
        <v>7</v>
      </c>
      <c r="G171" s="9" t="s">
        <v>7</v>
      </c>
      <c r="H171" s="9" t="s">
        <v>7</v>
      </c>
      <c r="I171" s="9" t="s">
        <v>7</v>
      </c>
      <c r="J171" s="9" t="s">
        <v>7</v>
      </c>
      <c r="K171" s="9" t="s">
        <v>7</v>
      </c>
      <c r="L171" s="9" t="s">
        <v>7</v>
      </c>
      <c r="M171" s="9" t="s">
        <v>7</v>
      </c>
      <c r="N171" s="9" t="s">
        <v>7</v>
      </c>
      <c r="O171" s="77"/>
      <c r="W171" s="51"/>
    </row>
    <row r="172" spans="1:23" ht="15.75" customHeight="1" thickBot="1" x14ac:dyDescent="0.25">
      <c r="A172" s="68"/>
      <c r="B172" s="34" t="s">
        <v>184</v>
      </c>
      <c r="C172" s="25" t="s">
        <v>7</v>
      </c>
      <c r="D172" s="25" t="s">
        <v>7</v>
      </c>
      <c r="E172" s="25" t="s">
        <v>7</v>
      </c>
      <c r="F172" s="25" t="s">
        <v>7</v>
      </c>
      <c r="G172" s="25" t="s">
        <v>7</v>
      </c>
      <c r="H172" s="25" t="s">
        <v>7</v>
      </c>
      <c r="I172" s="25" t="s">
        <v>7</v>
      </c>
      <c r="J172" s="25" t="s">
        <v>7</v>
      </c>
      <c r="K172" s="25" t="s">
        <v>7</v>
      </c>
      <c r="L172" s="25" t="s">
        <v>7</v>
      </c>
      <c r="M172" s="25" t="s">
        <v>7</v>
      </c>
      <c r="N172" s="25" t="s">
        <v>7</v>
      </c>
      <c r="O172" s="77"/>
      <c r="W172" s="51"/>
    </row>
    <row r="173" spans="1:23" ht="15.75" customHeight="1" thickBot="1" x14ac:dyDescent="0.25">
      <c r="A173" s="30"/>
      <c r="O173" s="43"/>
      <c r="P173" s="43"/>
      <c r="Q173" s="43"/>
      <c r="R173" s="43"/>
      <c r="S173" s="43"/>
      <c r="T173" s="43"/>
      <c r="U173" s="43"/>
      <c r="V173" s="43"/>
      <c r="W173" s="48"/>
    </row>
    <row r="174" spans="1:23" ht="15.75" customHeight="1" thickBot="1" x14ac:dyDescent="0.25">
      <c r="A174" s="101" t="s">
        <v>308</v>
      </c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</row>
    <row r="175" spans="1:23" x14ac:dyDescent="0.2">
      <c r="A175" s="66" t="s">
        <v>309</v>
      </c>
      <c r="B175" s="35" t="s">
        <v>185</v>
      </c>
      <c r="C175" s="23" t="s">
        <v>7</v>
      </c>
      <c r="D175" s="23" t="s">
        <v>7</v>
      </c>
      <c r="E175" s="23" t="s">
        <v>7</v>
      </c>
      <c r="F175" s="23" t="s">
        <v>7</v>
      </c>
      <c r="G175" s="23" t="s">
        <v>7</v>
      </c>
      <c r="H175" s="23" t="s">
        <v>7</v>
      </c>
      <c r="I175" s="23" t="s">
        <v>7</v>
      </c>
      <c r="J175" s="23" t="s">
        <v>7</v>
      </c>
      <c r="K175" s="23" t="s">
        <v>7</v>
      </c>
      <c r="L175" s="23" t="s">
        <v>7</v>
      </c>
      <c r="M175" s="23" t="s">
        <v>7</v>
      </c>
      <c r="N175" s="23" t="s">
        <v>7</v>
      </c>
      <c r="O175" s="91" t="s">
        <v>277</v>
      </c>
      <c r="P175" s="73" t="s">
        <v>278</v>
      </c>
      <c r="Q175" s="72" t="s">
        <v>279</v>
      </c>
      <c r="R175" s="81" t="s">
        <v>280</v>
      </c>
      <c r="S175" s="58" t="s">
        <v>281</v>
      </c>
      <c r="T175" s="74" t="s">
        <v>282</v>
      </c>
      <c r="U175" s="57" t="s">
        <v>283</v>
      </c>
      <c r="V175" s="53" t="s">
        <v>284</v>
      </c>
      <c r="W175" s="54" t="s">
        <v>285</v>
      </c>
    </row>
    <row r="176" spans="1:23" x14ac:dyDescent="0.2">
      <c r="A176" s="67"/>
      <c r="B176" s="6" t="s">
        <v>310</v>
      </c>
      <c r="C176" s="9" t="s">
        <v>7</v>
      </c>
      <c r="D176" s="9" t="s">
        <v>7</v>
      </c>
      <c r="E176" s="9" t="s">
        <v>7</v>
      </c>
      <c r="F176" s="9" t="s">
        <v>7</v>
      </c>
      <c r="G176" s="9" t="s">
        <v>7</v>
      </c>
      <c r="H176" s="9" t="s">
        <v>7</v>
      </c>
      <c r="I176" s="9" t="s">
        <v>7</v>
      </c>
      <c r="J176" s="9" t="s">
        <v>7</v>
      </c>
      <c r="K176" s="9" t="s">
        <v>7</v>
      </c>
      <c r="L176" s="9" t="s">
        <v>7</v>
      </c>
      <c r="M176" s="9" t="s">
        <v>7</v>
      </c>
      <c r="N176" s="9" t="s">
        <v>7</v>
      </c>
      <c r="O176" s="64"/>
      <c r="P176" s="62"/>
      <c r="Q176" s="51"/>
      <c r="R176" s="51"/>
      <c r="S176" s="51"/>
      <c r="T176" s="51"/>
      <c r="U176" s="51"/>
      <c r="V176" s="51"/>
      <c r="W176" s="51"/>
    </row>
    <row r="177" spans="1:23" x14ac:dyDescent="0.2">
      <c r="A177" s="67"/>
      <c r="B177" s="6" t="s">
        <v>311</v>
      </c>
      <c r="C177" s="9" t="s">
        <v>7</v>
      </c>
      <c r="D177" s="9" t="s">
        <v>7</v>
      </c>
      <c r="E177" s="9" t="s">
        <v>7</v>
      </c>
      <c r="F177" s="9" t="s">
        <v>7</v>
      </c>
      <c r="G177" s="9" t="s">
        <v>7</v>
      </c>
      <c r="H177" s="9" t="s">
        <v>7</v>
      </c>
      <c r="I177" s="9" t="s">
        <v>7</v>
      </c>
      <c r="J177" s="9" t="s">
        <v>7</v>
      </c>
      <c r="K177" s="9" t="s">
        <v>7</v>
      </c>
      <c r="L177" s="9" t="s">
        <v>7</v>
      </c>
      <c r="M177" s="9" t="s">
        <v>7</v>
      </c>
      <c r="N177" s="9" t="s">
        <v>7</v>
      </c>
      <c r="O177" s="64"/>
      <c r="P177" s="62"/>
      <c r="Q177" s="51"/>
      <c r="R177" s="51"/>
      <c r="S177" s="51"/>
      <c r="T177" s="51"/>
      <c r="U177" s="51"/>
      <c r="V177" s="51"/>
      <c r="W177" s="51"/>
    </row>
    <row r="178" spans="1:23" x14ac:dyDescent="0.2">
      <c r="A178" s="67"/>
      <c r="B178" s="6" t="s">
        <v>188</v>
      </c>
      <c r="C178" s="9" t="s">
        <v>7</v>
      </c>
      <c r="D178" s="9" t="s">
        <v>7</v>
      </c>
      <c r="E178" s="9" t="s">
        <v>7</v>
      </c>
      <c r="F178" s="9" t="s">
        <v>7</v>
      </c>
      <c r="G178" s="9" t="s">
        <v>7</v>
      </c>
      <c r="H178" s="9" t="s">
        <v>7</v>
      </c>
      <c r="I178" s="9" t="s">
        <v>7</v>
      </c>
      <c r="J178" s="9" t="s">
        <v>7</v>
      </c>
      <c r="K178" s="9" t="s">
        <v>7</v>
      </c>
      <c r="L178" s="9" t="s">
        <v>7</v>
      </c>
      <c r="M178" s="9" t="s">
        <v>7</v>
      </c>
      <c r="N178" s="9" t="s">
        <v>7</v>
      </c>
      <c r="O178" s="82"/>
      <c r="P178" s="62"/>
      <c r="Q178" s="51"/>
      <c r="R178" s="51"/>
      <c r="S178" s="51"/>
      <c r="T178" s="51"/>
      <c r="U178" s="51"/>
      <c r="V178" s="51"/>
      <c r="W178" s="51"/>
    </row>
    <row r="179" spans="1:23" x14ac:dyDescent="0.2">
      <c r="A179" s="67"/>
      <c r="B179" s="6" t="s">
        <v>189</v>
      </c>
      <c r="C179" s="9" t="s">
        <v>7</v>
      </c>
      <c r="D179" s="9" t="s">
        <v>7</v>
      </c>
      <c r="E179" s="9" t="s">
        <v>7</v>
      </c>
      <c r="F179" s="9" t="s">
        <v>7</v>
      </c>
      <c r="G179" s="9" t="s">
        <v>7</v>
      </c>
      <c r="H179" s="9" t="s">
        <v>7</v>
      </c>
      <c r="I179" s="9" t="s">
        <v>7</v>
      </c>
      <c r="J179" s="9" t="s">
        <v>7</v>
      </c>
      <c r="K179" s="9" t="s">
        <v>7</v>
      </c>
      <c r="L179" s="9" t="s">
        <v>7</v>
      </c>
      <c r="M179" s="9" t="s">
        <v>7</v>
      </c>
      <c r="N179" s="9" t="s">
        <v>7</v>
      </c>
      <c r="O179" s="77"/>
      <c r="P179" s="44"/>
      <c r="Q179" s="51"/>
      <c r="R179" s="51"/>
      <c r="S179" s="51"/>
      <c r="T179" s="51"/>
      <c r="U179" s="51"/>
      <c r="V179" s="51"/>
      <c r="W179" s="51"/>
    </row>
    <row r="180" spans="1:23" x14ac:dyDescent="0.2">
      <c r="A180" s="67"/>
      <c r="B180" s="6" t="s">
        <v>140</v>
      </c>
      <c r="C180" s="9" t="s">
        <v>7</v>
      </c>
      <c r="D180" s="9" t="s">
        <v>7</v>
      </c>
      <c r="E180" s="9" t="s">
        <v>7</v>
      </c>
      <c r="F180" s="9" t="s">
        <v>7</v>
      </c>
      <c r="G180" s="9" t="s">
        <v>7</v>
      </c>
      <c r="H180" s="9" t="s">
        <v>7</v>
      </c>
      <c r="I180" s="9" t="s">
        <v>7</v>
      </c>
      <c r="J180" s="9" t="s">
        <v>7</v>
      </c>
      <c r="K180" s="9" t="s">
        <v>7</v>
      </c>
      <c r="L180" s="9" t="s">
        <v>7</v>
      </c>
      <c r="M180" s="9" t="s">
        <v>7</v>
      </c>
      <c r="N180" s="9" t="s">
        <v>7</v>
      </c>
      <c r="O180" s="77"/>
      <c r="P180" s="44"/>
      <c r="Q180" s="51"/>
      <c r="R180" s="51"/>
      <c r="S180" s="51"/>
      <c r="T180" s="51"/>
      <c r="U180" s="51"/>
      <c r="V180" s="51"/>
      <c r="W180" s="51"/>
    </row>
    <row r="181" spans="1:23" x14ac:dyDescent="0.2">
      <c r="A181" s="67"/>
      <c r="B181" s="6" t="s">
        <v>190</v>
      </c>
      <c r="C181" s="9" t="s">
        <v>7</v>
      </c>
      <c r="D181" s="9" t="s">
        <v>7</v>
      </c>
      <c r="E181" s="9" t="s">
        <v>7</v>
      </c>
      <c r="F181" s="9" t="s">
        <v>7</v>
      </c>
      <c r="G181" s="9" t="s">
        <v>7</v>
      </c>
      <c r="H181" s="9" t="s">
        <v>7</v>
      </c>
      <c r="I181" s="9" t="s">
        <v>7</v>
      </c>
      <c r="J181" s="9" t="s">
        <v>7</v>
      </c>
      <c r="K181" s="9" t="s">
        <v>7</v>
      </c>
      <c r="L181" s="9" t="s">
        <v>7</v>
      </c>
      <c r="M181" s="9" t="s">
        <v>7</v>
      </c>
      <c r="N181" s="9" t="s">
        <v>7</v>
      </c>
      <c r="O181" s="77"/>
      <c r="P181" s="44"/>
      <c r="Q181" s="51"/>
      <c r="R181" s="51"/>
      <c r="S181" s="51"/>
      <c r="T181" s="51"/>
      <c r="U181" s="51"/>
      <c r="V181" s="51"/>
      <c r="W181" s="51"/>
    </row>
    <row r="182" spans="1:23" x14ac:dyDescent="0.2">
      <c r="A182" s="67"/>
      <c r="B182" s="6" t="s">
        <v>191</v>
      </c>
      <c r="C182" s="9" t="s">
        <v>7</v>
      </c>
      <c r="D182" s="9" t="s">
        <v>7</v>
      </c>
      <c r="E182" s="9" t="s">
        <v>7</v>
      </c>
      <c r="F182" s="9" t="s">
        <v>7</v>
      </c>
      <c r="G182" s="9" t="s">
        <v>7</v>
      </c>
      <c r="H182" s="9" t="s">
        <v>7</v>
      </c>
      <c r="I182" s="9" t="s">
        <v>7</v>
      </c>
      <c r="J182" s="9" t="s">
        <v>7</v>
      </c>
      <c r="K182" s="9" t="s">
        <v>7</v>
      </c>
      <c r="L182" s="9" t="s">
        <v>7</v>
      </c>
      <c r="M182" s="9" t="s">
        <v>7</v>
      </c>
      <c r="N182" s="9" t="s">
        <v>7</v>
      </c>
      <c r="O182" s="77"/>
      <c r="P182" s="44"/>
      <c r="Q182" s="51"/>
      <c r="R182" s="51"/>
      <c r="S182" s="51"/>
      <c r="T182" s="51"/>
      <c r="U182" s="51"/>
      <c r="V182" s="51"/>
      <c r="W182" s="51"/>
    </row>
    <row r="183" spans="1:23" x14ac:dyDescent="0.2">
      <c r="A183" s="67"/>
      <c r="B183" s="6" t="s">
        <v>192</v>
      </c>
      <c r="C183" s="9" t="s">
        <v>7</v>
      </c>
      <c r="D183" s="9" t="s">
        <v>7</v>
      </c>
      <c r="E183" s="9" t="s">
        <v>7</v>
      </c>
      <c r="F183" s="9" t="s">
        <v>7</v>
      </c>
      <c r="G183" s="9" t="s">
        <v>7</v>
      </c>
      <c r="H183" s="9" t="s">
        <v>7</v>
      </c>
      <c r="I183" s="9" t="s">
        <v>7</v>
      </c>
      <c r="J183" s="9" t="s">
        <v>7</v>
      </c>
      <c r="K183" s="9" t="s">
        <v>7</v>
      </c>
      <c r="L183" s="9" t="s">
        <v>7</v>
      </c>
      <c r="M183" s="9" t="s">
        <v>7</v>
      </c>
      <c r="N183" s="9" t="s">
        <v>7</v>
      </c>
      <c r="O183" s="77"/>
      <c r="P183" s="44"/>
      <c r="Q183" s="44"/>
      <c r="R183" s="51"/>
      <c r="S183" s="51"/>
      <c r="T183" s="51"/>
      <c r="U183" s="51"/>
      <c r="V183" s="51"/>
      <c r="W183" s="51"/>
    </row>
    <row r="184" spans="1:23" x14ac:dyDescent="0.2">
      <c r="A184" s="67"/>
      <c r="B184" s="6" t="s">
        <v>193</v>
      </c>
      <c r="C184" s="9" t="s">
        <v>7</v>
      </c>
      <c r="D184" s="9" t="s">
        <v>7</v>
      </c>
      <c r="E184" s="9" t="s">
        <v>7</v>
      </c>
      <c r="F184" s="9" t="s">
        <v>7</v>
      </c>
      <c r="G184" s="9" t="s">
        <v>7</v>
      </c>
      <c r="H184" s="9" t="s">
        <v>7</v>
      </c>
      <c r="I184" s="9" t="s">
        <v>7</v>
      </c>
      <c r="J184" s="9" t="s">
        <v>7</v>
      </c>
      <c r="K184" s="9" t="s">
        <v>7</v>
      </c>
      <c r="L184" s="9" t="s">
        <v>7</v>
      </c>
      <c r="M184" s="9" t="s">
        <v>7</v>
      </c>
      <c r="N184" s="9" t="s">
        <v>7</v>
      </c>
      <c r="O184" s="77"/>
      <c r="P184" s="44"/>
      <c r="Q184" s="44"/>
      <c r="R184" s="44"/>
      <c r="S184" s="51"/>
      <c r="T184" s="51"/>
      <c r="U184" s="51"/>
      <c r="V184" s="51"/>
      <c r="W184" s="51"/>
    </row>
    <row r="185" spans="1:23" x14ac:dyDescent="0.2">
      <c r="A185" s="67"/>
      <c r="B185" s="6" t="s">
        <v>194</v>
      </c>
      <c r="C185" s="9" t="s">
        <v>7</v>
      </c>
      <c r="D185" s="9" t="s">
        <v>7</v>
      </c>
      <c r="E185" s="9" t="s">
        <v>7</v>
      </c>
      <c r="F185" s="9" t="s">
        <v>7</v>
      </c>
      <c r="G185" s="9" t="s">
        <v>7</v>
      </c>
      <c r="H185" s="9" t="s">
        <v>7</v>
      </c>
      <c r="I185" s="9" t="s">
        <v>7</v>
      </c>
      <c r="J185" s="9" t="s">
        <v>7</v>
      </c>
      <c r="K185" s="9" t="s">
        <v>7</v>
      </c>
      <c r="L185" s="9" t="s">
        <v>7</v>
      </c>
      <c r="M185" s="9" t="s">
        <v>7</v>
      </c>
      <c r="N185" s="9" t="s">
        <v>7</v>
      </c>
      <c r="O185" s="77"/>
      <c r="P185" s="44"/>
      <c r="Q185" s="44"/>
      <c r="R185" s="44"/>
      <c r="S185" s="51"/>
      <c r="T185" s="51"/>
      <c r="U185" s="51"/>
      <c r="V185" s="51"/>
      <c r="W185" s="51"/>
    </row>
    <row r="186" spans="1:23" x14ac:dyDescent="0.2">
      <c r="A186" s="67"/>
      <c r="B186" s="6" t="s">
        <v>195</v>
      </c>
      <c r="C186" s="9" t="s">
        <v>7</v>
      </c>
      <c r="D186" s="9" t="s">
        <v>7</v>
      </c>
      <c r="E186" s="9" t="s">
        <v>7</v>
      </c>
      <c r="F186" s="9" t="s">
        <v>7</v>
      </c>
      <c r="G186" s="9" t="s">
        <v>7</v>
      </c>
      <c r="H186" s="9" t="s">
        <v>7</v>
      </c>
      <c r="I186" s="9" t="s">
        <v>7</v>
      </c>
      <c r="J186" s="9" t="s">
        <v>7</v>
      </c>
      <c r="K186" s="9" t="s">
        <v>7</v>
      </c>
      <c r="L186" s="9" t="s">
        <v>7</v>
      </c>
      <c r="M186" s="9" t="s">
        <v>7</v>
      </c>
      <c r="N186" s="9" t="s">
        <v>7</v>
      </c>
      <c r="O186" s="77"/>
      <c r="P186" s="44"/>
      <c r="Q186" s="44"/>
      <c r="R186" s="44"/>
      <c r="S186" s="44"/>
      <c r="T186" s="51"/>
      <c r="U186" s="51"/>
      <c r="V186" s="51"/>
      <c r="W186" s="51"/>
    </row>
    <row r="187" spans="1:23" x14ac:dyDescent="0.2">
      <c r="A187" s="67"/>
      <c r="B187" s="6" t="s">
        <v>151</v>
      </c>
      <c r="C187" s="9" t="s">
        <v>7</v>
      </c>
      <c r="D187" s="9" t="s">
        <v>7</v>
      </c>
      <c r="E187" s="9" t="s">
        <v>7</v>
      </c>
      <c r="F187" s="9" t="s">
        <v>7</v>
      </c>
      <c r="G187" s="9" t="s">
        <v>7</v>
      </c>
      <c r="H187" s="9" t="s">
        <v>7</v>
      </c>
      <c r="I187" s="9" t="s">
        <v>7</v>
      </c>
      <c r="J187" s="9" t="s">
        <v>7</v>
      </c>
      <c r="K187" s="9" t="s">
        <v>7</v>
      </c>
      <c r="L187" s="9" t="s">
        <v>7</v>
      </c>
      <c r="M187" s="9" t="s">
        <v>7</v>
      </c>
      <c r="N187" s="9" t="s">
        <v>7</v>
      </c>
      <c r="O187" s="77"/>
      <c r="P187" s="44"/>
      <c r="Q187" s="44"/>
      <c r="R187" s="44"/>
      <c r="S187" s="44"/>
      <c r="T187" s="51"/>
      <c r="U187" s="51"/>
      <c r="V187" s="51"/>
      <c r="W187" s="51"/>
    </row>
    <row r="188" spans="1:23" x14ac:dyDescent="0.2">
      <c r="A188" s="67"/>
      <c r="B188" s="6" t="s">
        <v>196</v>
      </c>
      <c r="C188" s="9" t="s">
        <v>7</v>
      </c>
      <c r="D188" s="9" t="s">
        <v>7</v>
      </c>
      <c r="E188" s="9" t="s">
        <v>7</v>
      </c>
      <c r="F188" s="9" t="s">
        <v>7</v>
      </c>
      <c r="G188" s="9" t="s">
        <v>7</v>
      </c>
      <c r="H188" s="9" t="s">
        <v>7</v>
      </c>
      <c r="I188" s="9" t="s">
        <v>7</v>
      </c>
      <c r="J188" s="9" t="s">
        <v>7</v>
      </c>
      <c r="K188" s="9" t="s">
        <v>7</v>
      </c>
      <c r="L188" s="9" t="s">
        <v>7</v>
      </c>
      <c r="M188" s="9" t="s">
        <v>7</v>
      </c>
      <c r="N188" s="9" t="s">
        <v>7</v>
      </c>
      <c r="O188" s="77"/>
      <c r="P188" s="44"/>
      <c r="Q188" s="44"/>
      <c r="R188" s="44"/>
      <c r="S188" s="44"/>
      <c r="T188" s="51"/>
      <c r="U188" s="51"/>
      <c r="V188" s="51"/>
      <c r="W188" s="51"/>
    </row>
    <row r="189" spans="1:23" x14ac:dyDescent="0.2">
      <c r="A189" s="67"/>
      <c r="B189" s="6" t="s">
        <v>197</v>
      </c>
      <c r="C189" s="9" t="s">
        <v>7</v>
      </c>
      <c r="D189" s="9" t="s">
        <v>7</v>
      </c>
      <c r="E189" s="9" t="s">
        <v>7</v>
      </c>
      <c r="F189" s="9" t="s">
        <v>7</v>
      </c>
      <c r="G189" s="9" t="s">
        <v>7</v>
      </c>
      <c r="H189" s="9" t="s">
        <v>7</v>
      </c>
      <c r="I189" s="9" t="s">
        <v>7</v>
      </c>
      <c r="J189" s="9" t="s">
        <v>7</v>
      </c>
      <c r="K189" s="9" t="s">
        <v>7</v>
      </c>
      <c r="L189" s="9" t="s">
        <v>7</v>
      </c>
      <c r="M189" s="9" t="s">
        <v>7</v>
      </c>
      <c r="N189" s="9" t="s">
        <v>7</v>
      </c>
      <c r="O189" s="77"/>
      <c r="P189" s="45"/>
      <c r="Q189" s="44"/>
      <c r="R189" s="44"/>
      <c r="S189" s="44"/>
      <c r="T189" s="44"/>
      <c r="U189" s="44"/>
      <c r="V189" s="44"/>
      <c r="W189" s="51"/>
    </row>
    <row r="190" spans="1:23" x14ac:dyDescent="0.2">
      <c r="A190" s="67"/>
      <c r="B190" s="6" t="s">
        <v>198</v>
      </c>
      <c r="C190" s="9" t="s">
        <v>7</v>
      </c>
      <c r="D190" s="9" t="s">
        <v>7</v>
      </c>
      <c r="E190" s="9" t="s">
        <v>7</v>
      </c>
      <c r="F190" s="9" t="s">
        <v>7</v>
      </c>
      <c r="G190" s="9" t="s">
        <v>7</v>
      </c>
      <c r="H190" s="9" t="s">
        <v>7</v>
      </c>
      <c r="I190" s="9" t="s">
        <v>7</v>
      </c>
      <c r="J190" s="9" t="s">
        <v>7</v>
      </c>
      <c r="K190" s="9" t="s">
        <v>7</v>
      </c>
      <c r="L190" s="9" t="s">
        <v>7</v>
      </c>
      <c r="M190" s="9" t="s">
        <v>7</v>
      </c>
      <c r="N190" s="9" t="s">
        <v>7</v>
      </c>
      <c r="O190" s="77"/>
      <c r="W190" s="51"/>
    </row>
    <row r="191" spans="1:23" x14ac:dyDescent="0.2">
      <c r="A191" s="67"/>
      <c r="B191" s="6" t="s">
        <v>199</v>
      </c>
      <c r="C191" s="9" t="s">
        <v>7</v>
      </c>
      <c r="D191" s="9" t="s">
        <v>7</v>
      </c>
      <c r="E191" s="9" t="s">
        <v>7</v>
      </c>
      <c r="F191" s="9" t="s">
        <v>7</v>
      </c>
      <c r="G191" s="9" t="s">
        <v>7</v>
      </c>
      <c r="H191" s="9" t="s">
        <v>7</v>
      </c>
      <c r="I191" s="9" t="s">
        <v>7</v>
      </c>
      <c r="J191" s="9" t="s">
        <v>7</v>
      </c>
      <c r="K191" s="9" t="s">
        <v>7</v>
      </c>
      <c r="L191" s="9" t="s">
        <v>7</v>
      </c>
      <c r="M191" s="9" t="s">
        <v>7</v>
      </c>
      <c r="N191" s="9" t="s">
        <v>7</v>
      </c>
      <c r="O191" s="77"/>
      <c r="W191" s="51"/>
    </row>
    <row r="192" spans="1:23" ht="15.75" customHeight="1" thickBot="1" x14ac:dyDescent="0.25">
      <c r="A192" s="68"/>
      <c r="B192" s="36" t="s">
        <v>200</v>
      </c>
      <c r="C192" s="25" t="s">
        <v>7</v>
      </c>
      <c r="D192" s="25" t="s">
        <v>7</v>
      </c>
      <c r="E192" s="25" t="s">
        <v>7</v>
      </c>
      <c r="F192" s="25" t="s">
        <v>7</v>
      </c>
      <c r="G192" s="25" t="s">
        <v>7</v>
      </c>
      <c r="H192" s="25" t="s">
        <v>7</v>
      </c>
      <c r="I192" s="25" t="s">
        <v>7</v>
      </c>
      <c r="J192" s="25" t="s">
        <v>7</v>
      </c>
      <c r="K192" s="25" t="s">
        <v>7</v>
      </c>
      <c r="L192" s="25" t="s">
        <v>7</v>
      </c>
      <c r="M192" s="25" t="s">
        <v>7</v>
      </c>
      <c r="N192" s="25" t="s">
        <v>7</v>
      </c>
      <c r="O192" s="77"/>
      <c r="W192" s="51"/>
    </row>
    <row r="193" spans="1:23" ht="15" customHeight="1" x14ac:dyDescent="0.2">
      <c r="A193" s="66" t="s">
        <v>24</v>
      </c>
      <c r="B193" s="35" t="s">
        <v>201</v>
      </c>
      <c r="C193" s="23" t="s">
        <v>7</v>
      </c>
      <c r="D193" s="23" t="s">
        <v>7</v>
      </c>
      <c r="E193" s="23" t="s">
        <v>7</v>
      </c>
      <c r="F193" s="23" t="s">
        <v>7</v>
      </c>
      <c r="G193" s="23" t="s">
        <v>7</v>
      </c>
      <c r="H193" s="23" t="s">
        <v>7</v>
      </c>
      <c r="I193" s="23" t="s">
        <v>7</v>
      </c>
      <c r="J193" s="23" t="s">
        <v>7</v>
      </c>
      <c r="K193" s="23" t="s">
        <v>7</v>
      </c>
      <c r="L193" s="23" t="s">
        <v>7</v>
      </c>
      <c r="M193" s="23" t="s">
        <v>7</v>
      </c>
      <c r="N193" s="23" t="s">
        <v>7</v>
      </c>
      <c r="O193" s="79" t="s">
        <v>277</v>
      </c>
      <c r="P193" s="86" t="s">
        <v>278</v>
      </c>
      <c r="Q193" s="72" t="s">
        <v>279</v>
      </c>
      <c r="R193" s="81" t="s">
        <v>280</v>
      </c>
      <c r="S193" s="58" t="s">
        <v>281</v>
      </c>
      <c r="T193" s="74" t="s">
        <v>282</v>
      </c>
      <c r="U193" s="57" t="s">
        <v>283</v>
      </c>
      <c r="V193" s="53" t="s">
        <v>284</v>
      </c>
      <c r="W193" s="54" t="s">
        <v>285</v>
      </c>
    </row>
    <row r="194" spans="1:23" x14ac:dyDescent="0.2">
      <c r="A194" s="67"/>
      <c r="B194" s="6" t="s">
        <v>312</v>
      </c>
      <c r="C194" s="9" t="s">
        <v>7</v>
      </c>
      <c r="D194" s="9" t="s">
        <v>7</v>
      </c>
      <c r="E194" s="9" t="s">
        <v>7</v>
      </c>
      <c r="F194" s="9" t="s">
        <v>7</v>
      </c>
      <c r="G194" s="9" t="s">
        <v>7</v>
      </c>
      <c r="H194" s="9" t="s">
        <v>7</v>
      </c>
      <c r="I194" s="9" t="s">
        <v>7</v>
      </c>
      <c r="J194" s="9" t="s">
        <v>7</v>
      </c>
      <c r="K194" s="9" t="s">
        <v>7</v>
      </c>
      <c r="L194" s="9" t="s">
        <v>7</v>
      </c>
      <c r="M194" s="9" t="s">
        <v>7</v>
      </c>
      <c r="N194" s="9" t="s">
        <v>7</v>
      </c>
      <c r="O194" s="51"/>
      <c r="P194" s="51"/>
      <c r="Q194" s="51"/>
      <c r="R194" s="51"/>
      <c r="S194" s="51"/>
      <c r="T194" s="51"/>
      <c r="U194" s="51"/>
      <c r="V194" s="51"/>
      <c r="W194" s="51"/>
    </row>
    <row r="195" spans="1:23" x14ac:dyDescent="0.2">
      <c r="A195" s="67"/>
      <c r="B195" s="6" t="s">
        <v>40</v>
      </c>
      <c r="C195" s="9" t="s">
        <v>7</v>
      </c>
      <c r="D195" s="9" t="s">
        <v>7</v>
      </c>
      <c r="E195" s="9" t="s">
        <v>7</v>
      </c>
      <c r="F195" s="9" t="s">
        <v>7</v>
      </c>
      <c r="G195" s="9" t="s">
        <v>7</v>
      </c>
      <c r="H195" s="9" t="s">
        <v>7</v>
      </c>
      <c r="I195" s="9" t="s">
        <v>7</v>
      </c>
      <c r="J195" s="9" t="s">
        <v>7</v>
      </c>
      <c r="K195" s="9" t="s">
        <v>7</v>
      </c>
      <c r="L195" s="9" t="s">
        <v>7</v>
      </c>
      <c r="M195" s="9" t="s">
        <v>7</v>
      </c>
      <c r="N195" s="9" t="s">
        <v>7</v>
      </c>
      <c r="O195" s="51"/>
      <c r="P195" s="51"/>
      <c r="Q195" s="51"/>
      <c r="R195" s="51"/>
      <c r="S195" s="51"/>
      <c r="T195" s="51"/>
      <c r="U195" s="51"/>
      <c r="V195" s="51"/>
      <c r="W195" s="51"/>
    </row>
    <row r="196" spans="1:23" x14ac:dyDescent="0.2">
      <c r="A196" s="67"/>
      <c r="B196" s="6" t="s">
        <v>185</v>
      </c>
      <c r="C196" s="9" t="s">
        <v>7</v>
      </c>
      <c r="D196" s="9" t="s">
        <v>7</v>
      </c>
      <c r="E196" s="9" t="s">
        <v>7</v>
      </c>
      <c r="F196" s="9" t="s">
        <v>7</v>
      </c>
      <c r="G196" s="9" t="s">
        <v>7</v>
      </c>
      <c r="H196" s="9" t="s">
        <v>7</v>
      </c>
      <c r="I196" s="9" t="s">
        <v>7</v>
      </c>
      <c r="J196" s="9" t="s">
        <v>7</v>
      </c>
      <c r="K196" s="9" t="s">
        <v>7</v>
      </c>
      <c r="L196" s="9" t="s">
        <v>7</v>
      </c>
      <c r="M196" s="9" t="s">
        <v>7</v>
      </c>
      <c r="N196" s="9" t="s">
        <v>7</v>
      </c>
      <c r="O196" s="51"/>
      <c r="P196" s="51"/>
      <c r="Q196" s="51"/>
      <c r="R196" s="51"/>
      <c r="S196" s="51"/>
      <c r="T196" s="51"/>
      <c r="U196" s="51"/>
      <c r="V196" s="51"/>
      <c r="W196" s="51"/>
    </row>
    <row r="197" spans="1:23" x14ac:dyDescent="0.2">
      <c r="A197" s="67"/>
      <c r="B197" s="6" t="s">
        <v>310</v>
      </c>
      <c r="C197" s="9" t="s">
        <v>7</v>
      </c>
      <c r="D197" s="9" t="s">
        <v>7</v>
      </c>
      <c r="E197" s="9" t="s">
        <v>7</v>
      </c>
      <c r="F197" s="9" t="s">
        <v>7</v>
      </c>
      <c r="G197" s="9" t="s">
        <v>7</v>
      </c>
      <c r="H197" s="9" t="s">
        <v>7</v>
      </c>
      <c r="I197" s="9" t="s">
        <v>7</v>
      </c>
      <c r="J197" s="9" t="s">
        <v>7</v>
      </c>
      <c r="K197" s="9" t="s">
        <v>7</v>
      </c>
      <c r="L197" s="9" t="s">
        <v>7</v>
      </c>
      <c r="M197" s="9" t="s">
        <v>7</v>
      </c>
      <c r="N197" s="9" t="s">
        <v>7</v>
      </c>
      <c r="O197" s="51"/>
      <c r="P197" s="51"/>
      <c r="Q197" s="51"/>
      <c r="R197" s="51"/>
      <c r="S197" s="51"/>
      <c r="T197" s="51"/>
      <c r="U197" s="51"/>
      <c r="V197" s="51"/>
      <c r="W197" s="51"/>
    </row>
    <row r="198" spans="1:23" x14ac:dyDescent="0.2">
      <c r="A198" s="67"/>
      <c r="B198" s="6" t="s">
        <v>202</v>
      </c>
      <c r="C198" s="9" t="s">
        <v>7</v>
      </c>
      <c r="D198" s="9" t="s">
        <v>7</v>
      </c>
      <c r="E198" s="9" t="s">
        <v>7</v>
      </c>
      <c r="F198" s="9" t="s">
        <v>7</v>
      </c>
      <c r="G198" s="9" t="s">
        <v>7</v>
      </c>
      <c r="H198" s="9" t="s">
        <v>7</v>
      </c>
      <c r="I198" s="9" t="s">
        <v>7</v>
      </c>
      <c r="J198" s="9" t="s">
        <v>7</v>
      </c>
      <c r="K198" s="9" t="s">
        <v>7</v>
      </c>
      <c r="L198" s="9" t="s">
        <v>7</v>
      </c>
      <c r="M198" s="9" t="s">
        <v>7</v>
      </c>
      <c r="N198" s="9" t="s">
        <v>7</v>
      </c>
      <c r="O198" s="82"/>
      <c r="P198" s="51"/>
      <c r="Q198" s="51"/>
      <c r="R198" s="51"/>
      <c r="S198" s="51"/>
      <c r="T198" s="51"/>
      <c r="U198" s="51"/>
      <c r="V198" s="51"/>
      <c r="W198" s="51"/>
    </row>
    <row r="199" spans="1:23" x14ac:dyDescent="0.2">
      <c r="A199" s="67"/>
      <c r="B199" s="6" t="s">
        <v>203</v>
      </c>
      <c r="C199" s="9" t="s">
        <v>7</v>
      </c>
      <c r="D199" s="9" t="s">
        <v>7</v>
      </c>
      <c r="E199" s="9" t="s">
        <v>7</v>
      </c>
      <c r="F199" s="9" t="s">
        <v>7</v>
      </c>
      <c r="G199" s="9" t="s">
        <v>7</v>
      </c>
      <c r="H199" s="9" t="s">
        <v>7</v>
      </c>
      <c r="I199" s="9" t="s">
        <v>7</v>
      </c>
      <c r="J199" s="9" t="s">
        <v>7</v>
      </c>
      <c r="K199" s="9" t="s">
        <v>7</v>
      </c>
      <c r="L199" s="9" t="s">
        <v>7</v>
      </c>
      <c r="M199" s="9" t="s">
        <v>7</v>
      </c>
      <c r="N199" s="9" t="s">
        <v>7</v>
      </c>
      <c r="O199" s="77"/>
      <c r="P199" s="51"/>
      <c r="Q199" s="51"/>
      <c r="R199" s="51"/>
      <c r="S199" s="51"/>
      <c r="T199" s="51"/>
      <c r="U199" s="51"/>
      <c r="V199" s="51"/>
      <c r="W199" s="51"/>
    </row>
    <row r="200" spans="1:23" x14ac:dyDescent="0.2">
      <c r="A200" s="67"/>
      <c r="B200" s="6" t="s">
        <v>204</v>
      </c>
      <c r="C200" s="9" t="s">
        <v>7</v>
      </c>
      <c r="D200" s="9" t="s">
        <v>7</v>
      </c>
      <c r="E200" s="9" t="s">
        <v>7</v>
      </c>
      <c r="F200" s="9" t="s">
        <v>7</v>
      </c>
      <c r="G200" s="9" t="s">
        <v>7</v>
      </c>
      <c r="H200" s="9" t="s">
        <v>7</v>
      </c>
      <c r="I200" s="9" t="s">
        <v>7</v>
      </c>
      <c r="J200" s="9" t="s">
        <v>7</v>
      </c>
      <c r="K200" s="9" t="s">
        <v>7</v>
      </c>
      <c r="L200" s="9" t="s">
        <v>7</v>
      </c>
      <c r="M200" s="9" t="s">
        <v>7</v>
      </c>
      <c r="N200" s="9" t="s">
        <v>7</v>
      </c>
      <c r="O200" s="77"/>
      <c r="P200" s="44"/>
      <c r="Q200" s="51"/>
      <c r="R200" s="51"/>
      <c r="S200" s="51"/>
      <c r="T200" s="51"/>
      <c r="U200" s="51"/>
      <c r="V200" s="51"/>
      <c r="W200" s="51"/>
    </row>
    <row r="201" spans="1:23" x14ac:dyDescent="0.2">
      <c r="A201" s="67"/>
      <c r="B201" s="6" t="s">
        <v>205</v>
      </c>
      <c r="C201" s="9" t="s">
        <v>7</v>
      </c>
      <c r="D201" s="9" t="s">
        <v>7</v>
      </c>
      <c r="E201" s="9" t="s">
        <v>7</v>
      </c>
      <c r="F201" s="9" t="s">
        <v>7</v>
      </c>
      <c r="G201" s="9" t="s">
        <v>7</v>
      </c>
      <c r="H201" s="9" t="s">
        <v>7</v>
      </c>
      <c r="I201" s="9" t="s">
        <v>7</v>
      </c>
      <c r="J201" s="9" t="s">
        <v>7</v>
      </c>
      <c r="K201" s="9" t="s">
        <v>7</v>
      </c>
      <c r="L201" s="9" t="s">
        <v>7</v>
      </c>
      <c r="M201" s="9" t="s">
        <v>7</v>
      </c>
      <c r="N201" s="9" t="s">
        <v>7</v>
      </c>
      <c r="O201" s="77"/>
      <c r="P201" s="44"/>
      <c r="Q201" s="51"/>
      <c r="R201" s="51"/>
      <c r="S201" s="51"/>
      <c r="T201" s="51"/>
      <c r="U201" s="51"/>
      <c r="V201" s="51"/>
      <c r="W201" s="51"/>
    </row>
    <row r="202" spans="1:23" x14ac:dyDescent="0.2">
      <c r="A202" s="67"/>
      <c r="B202" s="6" t="s">
        <v>206</v>
      </c>
      <c r="C202" s="9" t="s">
        <v>7</v>
      </c>
      <c r="D202" s="9" t="s">
        <v>7</v>
      </c>
      <c r="E202" s="9" t="s">
        <v>7</v>
      </c>
      <c r="F202" s="9" t="s">
        <v>7</v>
      </c>
      <c r="G202" s="9" t="s">
        <v>7</v>
      </c>
      <c r="H202" s="9" t="s">
        <v>7</v>
      </c>
      <c r="I202" s="9" t="s">
        <v>7</v>
      </c>
      <c r="J202" s="9" t="s">
        <v>7</v>
      </c>
      <c r="K202" s="9" t="s">
        <v>7</v>
      </c>
      <c r="L202" s="9" t="s">
        <v>7</v>
      </c>
      <c r="M202" s="9" t="s">
        <v>7</v>
      </c>
      <c r="N202" s="9" t="s">
        <v>7</v>
      </c>
      <c r="O202" s="77"/>
      <c r="P202" s="44"/>
      <c r="Q202" s="51"/>
      <c r="R202" s="51"/>
      <c r="S202" s="51"/>
      <c r="T202" s="51"/>
      <c r="U202" s="51"/>
      <c r="V202" s="51"/>
      <c r="W202" s="51"/>
    </row>
    <row r="203" spans="1:23" x14ac:dyDescent="0.2">
      <c r="A203" s="67"/>
      <c r="B203" s="6" t="s">
        <v>207</v>
      </c>
      <c r="C203" s="9" t="s">
        <v>7</v>
      </c>
      <c r="D203" s="9" t="s">
        <v>7</v>
      </c>
      <c r="E203" s="9" t="s">
        <v>7</v>
      </c>
      <c r="F203" s="9" t="s">
        <v>7</v>
      </c>
      <c r="G203" s="9" t="s">
        <v>7</v>
      </c>
      <c r="H203" s="9" t="s">
        <v>7</v>
      </c>
      <c r="I203" s="9" t="s">
        <v>7</v>
      </c>
      <c r="J203" s="9" t="s">
        <v>7</v>
      </c>
      <c r="K203" s="9" t="s">
        <v>7</v>
      </c>
      <c r="L203" s="9" t="s">
        <v>7</v>
      </c>
      <c r="M203" s="9" t="s">
        <v>7</v>
      </c>
      <c r="N203" s="9" t="s">
        <v>7</v>
      </c>
      <c r="O203" s="77"/>
      <c r="P203" s="44"/>
      <c r="Q203" s="44"/>
      <c r="R203" s="51"/>
      <c r="S203" s="51"/>
      <c r="T203" s="51"/>
      <c r="U203" s="51"/>
      <c r="V203" s="51"/>
      <c r="W203" s="51"/>
    </row>
    <row r="204" spans="1:23" x14ac:dyDescent="0.2">
      <c r="A204" s="67"/>
      <c r="B204" s="6" t="s">
        <v>208</v>
      </c>
      <c r="C204" s="9" t="s">
        <v>7</v>
      </c>
      <c r="D204" s="9" t="s">
        <v>7</v>
      </c>
      <c r="E204" s="9" t="s">
        <v>7</v>
      </c>
      <c r="F204" s="9" t="s">
        <v>7</v>
      </c>
      <c r="G204" s="9" t="s">
        <v>7</v>
      </c>
      <c r="H204" s="9" t="s">
        <v>7</v>
      </c>
      <c r="I204" s="9" t="s">
        <v>7</v>
      </c>
      <c r="J204" s="9" t="s">
        <v>7</v>
      </c>
      <c r="K204" s="9" t="s">
        <v>7</v>
      </c>
      <c r="L204" s="9" t="s">
        <v>7</v>
      </c>
      <c r="M204" s="9" t="s">
        <v>7</v>
      </c>
      <c r="N204" s="9" t="s">
        <v>7</v>
      </c>
      <c r="O204" s="77"/>
      <c r="P204" s="44"/>
      <c r="Q204" s="44"/>
      <c r="R204" s="51"/>
      <c r="S204" s="51"/>
      <c r="T204" s="51"/>
      <c r="U204" s="51"/>
      <c r="V204" s="51"/>
      <c r="W204" s="51"/>
    </row>
    <row r="205" spans="1:23" x14ac:dyDescent="0.2">
      <c r="A205" s="67"/>
      <c r="B205" s="6" t="s">
        <v>313</v>
      </c>
      <c r="C205" s="9" t="s">
        <v>7</v>
      </c>
      <c r="D205" s="9" t="s">
        <v>7</v>
      </c>
      <c r="E205" s="9" t="s">
        <v>7</v>
      </c>
      <c r="F205" s="9" t="s">
        <v>7</v>
      </c>
      <c r="G205" s="9" t="s">
        <v>7</v>
      </c>
      <c r="H205" s="9" t="s">
        <v>7</v>
      </c>
      <c r="I205" s="9" t="s">
        <v>7</v>
      </c>
      <c r="J205" s="9" t="s">
        <v>7</v>
      </c>
      <c r="K205" s="9" t="s">
        <v>7</v>
      </c>
      <c r="L205" s="9" t="s">
        <v>7</v>
      </c>
      <c r="M205" s="9" t="s">
        <v>7</v>
      </c>
      <c r="N205" s="9" t="s">
        <v>7</v>
      </c>
      <c r="O205" s="77"/>
      <c r="P205" s="44"/>
      <c r="Q205" s="44"/>
      <c r="R205" s="51"/>
      <c r="S205" s="51"/>
      <c r="T205" s="51"/>
      <c r="U205" s="51"/>
      <c r="V205" s="51"/>
      <c r="W205" s="51"/>
    </row>
    <row r="206" spans="1:23" x14ac:dyDescent="0.2">
      <c r="A206" s="67"/>
      <c r="B206" s="6" t="s">
        <v>314</v>
      </c>
      <c r="C206" s="9" t="s">
        <v>7</v>
      </c>
      <c r="D206" s="9" t="s">
        <v>7</v>
      </c>
      <c r="E206" s="9" t="s">
        <v>7</v>
      </c>
      <c r="F206" s="9" t="s">
        <v>7</v>
      </c>
      <c r="G206" s="9" t="s">
        <v>7</v>
      </c>
      <c r="H206" s="9" t="s">
        <v>7</v>
      </c>
      <c r="I206" s="9" t="s">
        <v>7</v>
      </c>
      <c r="J206" s="9" t="s">
        <v>7</v>
      </c>
      <c r="K206" s="9" t="s">
        <v>7</v>
      </c>
      <c r="L206" s="9" t="s">
        <v>7</v>
      </c>
      <c r="M206" s="9" t="s">
        <v>7</v>
      </c>
      <c r="N206" s="9" t="s">
        <v>7</v>
      </c>
      <c r="O206" s="77"/>
      <c r="P206" s="44"/>
      <c r="Q206" s="44"/>
      <c r="R206" s="51"/>
      <c r="S206" s="51"/>
      <c r="T206" s="51"/>
      <c r="U206" s="51"/>
      <c r="V206" s="51"/>
      <c r="W206" s="51"/>
    </row>
    <row r="207" spans="1:23" x14ac:dyDescent="0.2">
      <c r="A207" s="67"/>
      <c r="B207" s="6" t="s">
        <v>211</v>
      </c>
      <c r="C207" s="9" t="s">
        <v>7</v>
      </c>
      <c r="D207" s="9" t="s">
        <v>7</v>
      </c>
      <c r="E207" s="9" t="s">
        <v>7</v>
      </c>
      <c r="F207" s="9" t="s">
        <v>7</v>
      </c>
      <c r="G207" s="9" t="s">
        <v>7</v>
      </c>
      <c r="H207" s="9" t="s">
        <v>7</v>
      </c>
      <c r="I207" s="9" t="s">
        <v>7</v>
      </c>
      <c r="J207" s="9" t="s">
        <v>7</v>
      </c>
      <c r="K207" s="9" t="s">
        <v>7</v>
      </c>
      <c r="L207" s="9" t="s">
        <v>7</v>
      </c>
      <c r="M207" s="9" t="s">
        <v>7</v>
      </c>
      <c r="N207" s="9" t="s">
        <v>7</v>
      </c>
      <c r="O207" s="77"/>
      <c r="P207" s="45"/>
      <c r="Q207" s="44"/>
      <c r="R207" s="44"/>
      <c r="S207" s="51"/>
      <c r="T207" s="51"/>
      <c r="U207" s="51"/>
      <c r="V207" s="51"/>
      <c r="W207" s="51"/>
    </row>
    <row r="208" spans="1:23" x14ac:dyDescent="0.2">
      <c r="A208" s="67"/>
      <c r="B208" s="6" t="s">
        <v>212</v>
      </c>
      <c r="C208" s="9" t="s">
        <v>7</v>
      </c>
      <c r="D208" s="9" t="s">
        <v>7</v>
      </c>
      <c r="E208" s="9" t="s">
        <v>7</v>
      </c>
      <c r="F208" s="9" t="s">
        <v>7</v>
      </c>
      <c r="G208" s="9" t="s">
        <v>7</v>
      </c>
      <c r="H208" s="9" t="s">
        <v>7</v>
      </c>
      <c r="I208" s="9" t="s">
        <v>7</v>
      </c>
      <c r="J208" s="9" t="s">
        <v>7</v>
      </c>
      <c r="K208" s="9" t="s">
        <v>7</v>
      </c>
      <c r="L208" s="9" t="s">
        <v>7</v>
      </c>
      <c r="M208" s="9" t="s">
        <v>7</v>
      </c>
      <c r="N208" s="9" t="s">
        <v>7</v>
      </c>
      <c r="O208" s="77"/>
      <c r="T208" s="51"/>
      <c r="U208" s="51"/>
      <c r="V208" s="51"/>
      <c r="W208" s="51"/>
    </row>
    <row r="209" spans="1:23" x14ac:dyDescent="0.2">
      <c r="A209" s="67"/>
      <c r="B209" s="6" t="s">
        <v>213</v>
      </c>
      <c r="C209" s="9" t="s">
        <v>7</v>
      </c>
      <c r="D209" s="9" t="s">
        <v>7</v>
      </c>
      <c r="E209" s="9" t="s">
        <v>7</v>
      </c>
      <c r="F209" s="9" t="s">
        <v>7</v>
      </c>
      <c r="G209" s="9" t="s">
        <v>7</v>
      </c>
      <c r="H209" s="9" t="s">
        <v>7</v>
      </c>
      <c r="I209" s="9" t="s">
        <v>7</v>
      </c>
      <c r="J209" s="9" t="s">
        <v>7</v>
      </c>
      <c r="K209" s="9" t="s">
        <v>7</v>
      </c>
      <c r="L209" s="9" t="s">
        <v>7</v>
      </c>
      <c r="M209" s="9" t="s">
        <v>7</v>
      </c>
      <c r="N209" s="9" t="s">
        <v>7</v>
      </c>
      <c r="O209" s="77"/>
      <c r="U209" s="51"/>
      <c r="V209" s="51"/>
      <c r="W209" s="51"/>
    </row>
    <row r="210" spans="1:23" x14ac:dyDescent="0.2">
      <c r="A210" s="67"/>
      <c r="B210" s="6" t="s">
        <v>214</v>
      </c>
      <c r="C210" s="9" t="s">
        <v>7</v>
      </c>
      <c r="D210" s="9" t="s">
        <v>7</v>
      </c>
      <c r="E210" s="9" t="s">
        <v>7</v>
      </c>
      <c r="F210" s="9" t="s">
        <v>7</v>
      </c>
      <c r="G210" s="9" t="s">
        <v>7</v>
      </c>
      <c r="H210" s="9" t="s">
        <v>7</v>
      </c>
      <c r="I210" s="9" t="s">
        <v>7</v>
      </c>
      <c r="J210" s="9" t="s">
        <v>7</v>
      </c>
      <c r="K210" s="9" t="s">
        <v>7</v>
      </c>
      <c r="L210" s="9" t="s">
        <v>7</v>
      </c>
      <c r="M210" s="9" t="s">
        <v>7</v>
      </c>
      <c r="N210" s="9" t="s">
        <v>7</v>
      </c>
      <c r="O210" s="77"/>
      <c r="U210" s="51"/>
      <c r="V210" s="51"/>
      <c r="W210" s="51"/>
    </row>
    <row r="211" spans="1:23" x14ac:dyDescent="0.2">
      <c r="A211" s="67"/>
      <c r="B211" s="6" t="s">
        <v>315</v>
      </c>
      <c r="C211" s="9" t="s">
        <v>7</v>
      </c>
      <c r="D211" s="9" t="s">
        <v>7</v>
      </c>
      <c r="E211" s="9" t="s">
        <v>7</v>
      </c>
      <c r="F211" s="9" t="s">
        <v>7</v>
      </c>
      <c r="G211" s="9" t="s">
        <v>7</v>
      </c>
      <c r="H211" s="9" t="s">
        <v>7</v>
      </c>
      <c r="I211" s="9" t="s">
        <v>7</v>
      </c>
      <c r="J211" s="9" t="s">
        <v>7</v>
      </c>
      <c r="K211" s="9" t="s">
        <v>7</v>
      </c>
      <c r="L211" s="9" t="s">
        <v>7</v>
      </c>
      <c r="M211" s="9" t="s">
        <v>7</v>
      </c>
      <c r="N211" s="9" t="s">
        <v>7</v>
      </c>
      <c r="O211" s="77"/>
      <c r="U211" s="51"/>
      <c r="V211" s="51"/>
      <c r="W211" s="51"/>
    </row>
    <row r="212" spans="1:23" x14ac:dyDescent="0.2">
      <c r="A212" s="67"/>
      <c r="B212" s="6" t="s">
        <v>216</v>
      </c>
      <c r="C212" s="9" t="s">
        <v>7</v>
      </c>
      <c r="D212" s="9" t="s">
        <v>7</v>
      </c>
      <c r="E212" s="9" t="s">
        <v>7</v>
      </c>
      <c r="F212" s="9" t="s">
        <v>7</v>
      </c>
      <c r="G212" s="9" t="s">
        <v>7</v>
      </c>
      <c r="H212" s="9" t="s">
        <v>7</v>
      </c>
      <c r="I212" s="9" t="s">
        <v>7</v>
      </c>
      <c r="J212" s="9" t="s">
        <v>7</v>
      </c>
      <c r="K212" s="9" t="s">
        <v>7</v>
      </c>
      <c r="L212" s="9" t="s">
        <v>7</v>
      </c>
      <c r="M212" s="9" t="s">
        <v>7</v>
      </c>
      <c r="N212" s="9" t="s">
        <v>7</v>
      </c>
      <c r="O212" s="77"/>
      <c r="V212" s="51"/>
      <c r="W212" s="51"/>
    </row>
    <row r="213" spans="1:23" x14ac:dyDescent="0.2">
      <c r="A213" s="67"/>
      <c r="B213" s="6" t="s">
        <v>217</v>
      </c>
      <c r="C213" s="9" t="s">
        <v>7</v>
      </c>
      <c r="D213" s="9" t="s">
        <v>7</v>
      </c>
      <c r="E213" s="9" t="s">
        <v>7</v>
      </c>
      <c r="F213" s="9" t="s">
        <v>7</v>
      </c>
      <c r="G213" s="9" t="s">
        <v>7</v>
      </c>
      <c r="H213" s="9" t="s">
        <v>7</v>
      </c>
      <c r="I213" s="9" t="s">
        <v>7</v>
      </c>
      <c r="J213" s="9" t="s">
        <v>7</v>
      </c>
      <c r="K213" s="9" t="s">
        <v>7</v>
      </c>
      <c r="L213" s="9" t="s">
        <v>7</v>
      </c>
      <c r="M213" s="9" t="s">
        <v>7</v>
      </c>
      <c r="N213" s="9" t="s">
        <v>7</v>
      </c>
      <c r="O213" s="77"/>
      <c r="W213" s="51"/>
    </row>
    <row r="214" spans="1:23" x14ac:dyDescent="0.2">
      <c r="A214" s="67"/>
      <c r="B214" s="6" t="s">
        <v>218</v>
      </c>
      <c r="C214" s="9" t="s">
        <v>7</v>
      </c>
      <c r="D214" s="9" t="s">
        <v>7</v>
      </c>
      <c r="E214" s="9" t="s">
        <v>7</v>
      </c>
      <c r="F214" s="9" t="s">
        <v>7</v>
      </c>
      <c r="G214" s="9" t="s">
        <v>7</v>
      </c>
      <c r="H214" s="9" t="s">
        <v>7</v>
      </c>
      <c r="I214" s="9" t="s">
        <v>7</v>
      </c>
      <c r="J214" s="9" t="s">
        <v>7</v>
      </c>
      <c r="K214" s="9" t="s">
        <v>7</v>
      </c>
      <c r="L214" s="9" t="s">
        <v>7</v>
      </c>
      <c r="M214" s="9" t="s">
        <v>7</v>
      </c>
      <c r="N214" s="9" t="s">
        <v>7</v>
      </c>
      <c r="O214" s="77"/>
      <c r="W214" s="51"/>
    </row>
    <row r="215" spans="1:23" x14ac:dyDescent="0.2">
      <c r="A215" s="67"/>
      <c r="B215" s="6" t="s">
        <v>219</v>
      </c>
      <c r="C215" s="9" t="s">
        <v>7</v>
      </c>
      <c r="D215" s="9" t="s">
        <v>7</v>
      </c>
      <c r="E215" s="9" t="s">
        <v>7</v>
      </c>
      <c r="F215" s="9" t="s">
        <v>7</v>
      </c>
      <c r="G215" s="9" t="s">
        <v>7</v>
      </c>
      <c r="H215" s="9" t="s">
        <v>7</v>
      </c>
      <c r="I215" s="9" t="s">
        <v>7</v>
      </c>
      <c r="J215" s="9" t="s">
        <v>7</v>
      </c>
      <c r="K215" s="9" t="s">
        <v>7</v>
      </c>
      <c r="L215" s="9" t="s">
        <v>7</v>
      </c>
      <c r="M215" s="9" t="s">
        <v>7</v>
      </c>
      <c r="N215" s="9" t="s">
        <v>7</v>
      </c>
      <c r="O215" s="77"/>
      <c r="W215" s="51"/>
    </row>
    <row r="216" spans="1:23" ht="15.75" customHeight="1" thickBot="1" x14ac:dyDescent="0.25">
      <c r="A216" s="68"/>
      <c r="B216" s="36" t="s">
        <v>220</v>
      </c>
      <c r="C216" s="25" t="s">
        <v>7</v>
      </c>
      <c r="D216" s="25" t="s">
        <v>7</v>
      </c>
      <c r="E216" s="25" t="s">
        <v>7</v>
      </c>
      <c r="F216" s="25" t="s">
        <v>7</v>
      </c>
      <c r="G216" s="25" t="s">
        <v>7</v>
      </c>
      <c r="H216" s="25" t="s">
        <v>7</v>
      </c>
      <c r="I216" s="25" t="s">
        <v>7</v>
      </c>
      <c r="J216" s="25" t="s">
        <v>7</v>
      </c>
      <c r="K216" s="25" t="s">
        <v>7</v>
      </c>
      <c r="L216" s="25" t="s">
        <v>7</v>
      </c>
      <c r="M216" s="25" t="s">
        <v>7</v>
      </c>
      <c r="N216" s="25" t="s">
        <v>7</v>
      </c>
      <c r="O216" s="77"/>
      <c r="W216" s="51"/>
    </row>
    <row r="217" spans="1:23" ht="17" customHeight="1" x14ac:dyDescent="0.2">
      <c r="A217" s="66" t="s">
        <v>25</v>
      </c>
      <c r="B217" s="35" t="s">
        <v>185</v>
      </c>
      <c r="C217" s="23" t="s">
        <v>7</v>
      </c>
      <c r="D217" s="23" t="s">
        <v>7</v>
      </c>
      <c r="E217" s="23" t="s">
        <v>7</v>
      </c>
      <c r="F217" s="23" t="s">
        <v>7</v>
      </c>
      <c r="G217" s="23" t="s">
        <v>7</v>
      </c>
      <c r="H217" s="23" t="s">
        <v>7</v>
      </c>
      <c r="I217" s="23" t="s">
        <v>7</v>
      </c>
      <c r="J217" s="23" t="s">
        <v>7</v>
      </c>
      <c r="K217" s="23" t="s">
        <v>7</v>
      </c>
      <c r="L217" s="23" t="s">
        <v>7</v>
      </c>
      <c r="M217" s="23" t="s">
        <v>7</v>
      </c>
      <c r="N217" s="23" t="s">
        <v>7</v>
      </c>
      <c r="O217" s="46" t="s">
        <v>277</v>
      </c>
      <c r="P217" s="73" t="s">
        <v>278</v>
      </c>
      <c r="Q217" s="72" t="s">
        <v>279</v>
      </c>
      <c r="R217" s="81" t="s">
        <v>280</v>
      </c>
      <c r="S217" s="58" t="s">
        <v>281</v>
      </c>
      <c r="T217" s="74" t="s">
        <v>282</v>
      </c>
      <c r="U217" s="57" t="s">
        <v>283</v>
      </c>
      <c r="V217" s="53" t="s">
        <v>284</v>
      </c>
      <c r="W217" s="54" t="s">
        <v>285</v>
      </c>
    </row>
    <row r="218" spans="1:23" x14ac:dyDescent="0.2">
      <c r="A218" s="67"/>
      <c r="B218" s="6" t="s">
        <v>310</v>
      </c>
      <c r="C218" s="9" t="s">
        <v>7</v>
      </c>
      <c r="D218" s="9" t="s">
        <v>7</v>
      </c>
      <c r="E218" s="9" t="s">
        <v>7</v>
      </c>
      <c r="F218" s="9" t="s">
        <v>7</v>
      </c>
      <c r="G218" s="9" t="s">
        <v>7</v>
      </c>
      <c r="H218" s="9" t="s">
        <v>7</v>
      </c>
      <c r="I218" s="9" t="s">
        <v>7</v>
      </c>
      <c r="J218" s="9" t="s">
        <v>7</v>
      </c>
      <c r="K218" s="9" t="s">
        <v>7</v>
      </c>
      <c r="L218" s="9" t="s">
        <v>7</v>
      </c>
      <c r="M218" s="9" t="s">
        <v>7</v>
      </c>
      <c r="N218" s="9" t="s">
        <v>7</v>
      </c>
      <c r="O218" s="94"/>
      <c r="P218" s="62"/>
      <c r="Q218" s="51"/>
      <c r="R218" s="51"/>
      <c r="S218" s="51"/>
      <c r="T218" s="51"/>
      <c r="U218" s="51"/>
      <c r="V218" s="51"/>
      <c r="W218" s="51"/>
    </row>
    <row r="219" spans="1:23" ht="17" customHeight="1" x14ac:dyDescent="0.2">
      <c r="A219" s="67"/>
      <c r="B219" s="6" t="s">
        <v>311</v>
      </c>
      <c r="C219" s="9" t="s">
        <v>7</v>
      </c>
      <c r="D219" s="9" t="s">
        <v>7</v>
      </c>
      <c r="E219" s="9" t="s">
        <v>7</v>
      </c>
      <c r="F219" s="9" t="s">
        <v>7</v>
      </c>
      <c r="G219" s="9" t="s">
        <v>7</v>
      </c>
      <c r="H219" s="9" t="s">
        <v>7</v>
      </c>
      <c r="I219" s="9" t="s">
        <v>7</v>
      </c>
      <c r="J219" s="9" t="s">
        <v>7</v>
      </c>
      <c r="K219" s="9" t="s">
        <v>7</v>
      </c>
      <c r="L219" s="9" t="s">
        <v>7</v>
      </c>
      <c r="M219" s="9" t="s">
        <v>7</v>
      </c>
      <c r="N219" s="9" t="s">
        <v>7</v>
      </c>
      <c r="O219" s="77"/>
      <c r="P219" s="62"/>
      <c r="Q219" s="51"/>
      <c r="R219" s="51"/>
      <c r="S219" s="51"/>
      <c r="T219" s="51"/>
      <c r="U219" s="51"/>
      <c r="V219" s="51"/>
      <c r="W219" s="51"/>
    </row>
    <row r="220" spans="1:23" x14ac:dyDescent="0.2">
      <c r="A220" s="67"/>
      <c r="B220" s="6" t="s">
        <v>147</v>
      </c>
      <c r="C220" s="9" t="s">
        <v>7</v>
      </c>
      <c r="D220" s="9" t="s">
        <v>7</v>
      </c>
      <c r="E220" s="9" t="s">
        <v>7</v>
      </c>
      <c r="F220" s="9" t="s">
        <v>7</v>
      </c>
      <c r="G220" s="9" t="s">
        <v>7</v>
      </c>
      <c r="H220" s="9" t="s">
        <v>7</v>
      </c>
      <c r="I220" s="9" t="s">
        <v>7</v>
      </c>
      <c r="J220" s="9" t="s">
        <v>7</v>
      </c>
      <c r="K220" s="9" t="s">
        <v>7</v>
      </c>
      <c r="L220" s="9" t="s">
        <v>7</v>
      </c>
      <c r="M220" s="9" t="s">
        <v>7</v>
      </c>
      <c r="N220" s="9" t="s">
        <v>7</v>
      </c>
      <c r="O220" s="77"/>
      <c r="P220" s="62"/>
      <c r="Q220" s="51"/>
      <c r="R220" s="51"/>
      <c r="S220" s="51"/>
      <c r="T220" s="51"/>
      <c r="U220" s="51"/>
      <c r="V220" s="51"/>
      <c r="W220" s="51"/>
    </row>
    <row r="221" spans="1:23" x14ac:dyDescent="0.2">
      <c r="A221" s="67"/>
      <c r="B221" s="6" t="s">
        <v>221</v>
      </c>
      <c r="C221" s="9" t="s">
        <v>7</v>
      </c>
      <c r="D221" s="9" t="s">
        <v>7</v>
      </c>
      <c r="E221" s="9" t="s">
        <v>7</v>
      </c>
      <c r="F221" s="9" t="s">
        <v>7</v>
      </c>
      <c r="G221" s="9" t="s">
        <v>7</v>
      </c>
      <c r="H221" s="9" t="s">
        <v>7</v>
      </c>
      <c r="I221" s="9" t="s">
        <v>7</v>
      </c>
      <c r="J221" s="9" t="s">
        <v>7</v>
      </c>
      <c r="K221" s="9" t="s">
        <v>7</v>
      </c>
      <c r="L221" s="9" t="s">
        <v>7</v>
      </c>
      <c r="M221" s="9" t="s">
        <v>7</v>
      </c>
      <c r="N221" s="9" t="s">
        <v>7</v>
      </c>
      <c r="O221" s="77"/>
      <c r="P221" s="44"/>
      <c r="Q221" s="51"/>
      <c r="R221" s="51"/>
      <c r="S221" s="51"/>
      <c r="T221" s="51"/>
      <c r="U221" s="51"/>
      <c r="V221" s="51"/>
      <c r="W221" s="51"/>
    </row>
    <row r="222" spans="1:23" x14ac:dyDescent="0.2">
      <c r="A222" s="67"/>
      <c r="B222" s="6" t="s">
        <v>222</v>
      </c>
      <c r="C222" s="9" t="s">
        <v>7</v>
      </c>
      <c r="D222" s="9" t="s">
        <v>7</v>
      </c>
      <c r="E222" s="9" t="s">
        <v>7</v>
      </c>
      <c r="F222" s="9" t="s">
        <v>7</v>
      </c>
      <c r="G222" s="9" t="s">
        <v>7</v>
      </c>
      <c r="H222" s="9" t="s">
        <v>7</v>
      </c>
      <c r="I222" s="9" t="s">
        <v>7</v>
      </c>
      <c r="J222" s="9" t="s">
        <v>7</v>
      </c>
      <c r="K222" s="9" t="s">
        <v>7</v>
      </c>
      <c r="L222" s="9" t="s">
        <v>7</v>
      </c>
      <c r="M222" s="9" t="s">
        <v>7</v>
      </c>
      <c r="N222" s="9" t="s">
        <v>7</v>
      </c>
      <c r="O222" s="77"/>
      <c r="P222" s="44"/>
      <c r="Q222" s="44"/>
      <c r="S222" s="51"/>
      <c r="T222" s="51"/>
      <c r="U222" s="51"/>
      <c r="V222" s="51"/>
      <c r="W222" s="51"/>
    </row>
    <row r="223" spans="1:23" x14ac:dyDescent="0.2">
      <c r="A223" s="67"/>
      <c r="B223" s="6" t="s">
        <v>223</v>
      </c>
      <c r="C223" s="9" t="s">
        <v>7</v>
      </c>
      <c r="D223" s="9" t="s">
        <v>7</v>
      </c>
      <c r="E223" s="9" t="s">
        <v>7</v>
      </c>
      <c r="F223" s="9" t="s">
        <v>7</v>
      </c>
      <c r="G223" s="9" t="s">
        <v>7</v>
      </c>
      <c r="H223" s="9" t="s">
        <v>7</v>
      </c>
      <c r="I223" s="9" t="s">
        <v>7</v>
      </c>
      <c r="J223" s="9" t="s">
        <v>7</v>
      </c>
      <c r="K223" s="9" t="s">
        <v>7</v>
      </c>
      <c r="L223" s="9" t="s">
        <v>7</v>
      </c>
      <c r="M223" s="9" t="s">
        <v>7</v>
      </c>
      <c r="N223" s="9" t="s">
        <v>7</v>
      </c>
      <c r="O223" s="77"/>
      <c r="P223" s="44"/>
      <c r="Q223" s="44"/>
      <c r="U223" s="51"/>
      <c r="V223" s="51"/>
      <c r="W223" s="51"/>
    </row>
    <row r="224" spans="1:23" x14ac:dyDescent="0.2">
      <c r="A224" s="67"/>
      <c r="B224" s="6" t="s">
        <v>224</v>
      </c>
      <c r="C224" s="9" t="s">
        <v>7</v>
      </c>
      <c r="D224" s="9" t="s">
        <v>7</v>
      </c>
      <c r="E224" s="9" t="s">
        <v>7</v>
      </c>
      <c r="F224" s="9" t="s">
        <v>7</v>
      </c>
      <c r="G224" s="9" t="s">
        <v>7</v>
      </c>
      <c r="H224" s="9" t="s">
        <v>7</v>
      </c>
      <c r="I224" s="9" t="s">
        <v>7</v>
      </c>
      <c r="J224" s="9" t="s">
        <v>7</v>
      </c>
      <c r="K224" s="9" t="s">
        <v>7</v>
      </c>
      <c r="L224" s="9" t="s">
        <v>7</v>
      </c>
      <c r="M224" s="9" t="s">
        <v>7</v>
      </c>
      <c r="N224" s="9" t="s">
        <v>7</v>
      </c>
      <c r="O224" s="77"/>
      <c r="P224" s="44"/>
      <c r="Q224" s="44"/>
      <c r="U224" s="51"/>
      <c r="V224" s="51"/>
      <c r="W224" s="51"/>
    </row>
    <row r="225" spans="1:23" x14ac:dyDescent="0.2">
      <c r="A225" s="67"/>
      <c r="B225" s="6" t="s">
        <v>316</v>
      </c>
      <c r="C225" s="9" t="s">
        <v>7</v>
      </c>
      <c r="D225" s="9" t="s">
        <v>7</v>
      </c>
      <c r="E225" s="9" t="s">
        <v>7</v>
      </c>
      <c r="F225" s="9" t="s">
        <v>7</v>
      </c>
      <c r="G225" s="9" t="s">
        <v>7</v>
      </c>
      <c r="H225" s="9" t="s">
        <v>7</v>
      </c>
      <c r="I225" s="9" t="s">
        <v>7</v>
      </c>
      <c r="J225" s="9" t="s">
        <v>7</v>
      </c>
      <c r="K225" s="9" t="s">
        <v>7</v>
      </c>
      <c r="L225" s="9" t="s">
        <v>7</v>
      </c>
      <c r="M225" s="9" t="s">
        <v>7</v>
      </c>
      <c r="N225" s="9" t="s">
        <v>7</v>
      </c>
      <c r="O225" s="77"/>
      <c r="P225" s="44"/>
      <c r="Q225" s="44"/>
      <c r="U225" s="51"/>
      <c r="V225" s="51"/>
      <c r="W225" s="51"/>
    </row>
    <row r="226" spans="1:23" x14ac:dyDescent="0.2">
      <c r="A226" s="67"/>
      <c r="B226" s="6" t="s">
        <v>226</v>
      </c>
      <c r="C226" s="9" t="s">
        <v>7</v>
      </c>
      <c r="D226" s="9" t="s">
        <v>7</v>
      </c>
      <c r="E226" s="9" t="s">
        <v>7</v>
      </c>
      <c r="F226" s="9" t="s">
        <v>7</v>
      </c>
      <c r="G226" s="9" t="s">
        <v>7</v>
      </c>
      <c r="H226" s="9" t="s">
        <v>7</v>
      </c>
      <c r="I226" s="9" t="s">
        <v>7</v>
      </c>
      <c r="J226" s="9" t="s">
        <v>7</v>
      </c>
      <c r="K226" s="9" t="s">
        <v>7</v>
      </c>
      <c r="L226" s="9" t="s">
        <v>7</v>
      </c>
      <c r="M226" s="9" t="s">
        <v>7</v>
      </c>
      <c r="N226" s="9" t="s">
        <v>7</v>
      </c>
      <c r="O226" s="77"/>
      <c r="P226" s="44"/>
      <c r="Q226" s="44"/>
      <c r="V226" s="51"/>
      <c r="W226" s="51"/>
    </row>
    <row r="227" spans="1:23" x14ac:dyDescent="0.2">
      <c r="A227" s="67"/>
      <c r="B227" s="6" t="s">
        <v>227</v>
      </c>
      <c r="C227" s="9" t="s">
        <v>7</v>
      </c>
      <c r="D227" s="9" t="s">
        <v>7</v>
      </c>
      <c r="E227" s="9" t="s">
        <v>7</v>
      </c>
      <c r="F227" s="9" t="s">
        <v>7</v>
      </c>
      <c r="G227" s="9" t="s">
        <v>7</v>
      </c>
      <c r="H227" s="9" t="s">
        <v>7</v>
      </c>
      <c r="I227" s="9" t="s">
        <v>7</v>
      </c>
      <c r="J227" s="9" t="s">
        <v>7</v>
      </c>
      <c r="K227" s="9" t="s">
        <v>7</v>
      </c>
      <c r="L227" s="9" t="s">
        <v>7</v>
      </c>
      <c r="M227" s="9" t="s">
        <v>7</v>
      </c>
      <c r="N227" s="9" t="s">
        <v>7</v>
      </c>
      <c r="O227" s="77"/>
      <c r="P227" s="44"/>
      <c r="Q227" s="44"/>
      <c r="R227" s="44"/>
      <c r="W227" s="51"/>
    </row>
    <row r="228" spans="1:23" ht="16" customHeight="1" thickBot="1" x14ac:dyDescent="0.25">
      <c r="A228" s="67"/>
      <c r="B228" s="6" t="s">
        <v>228</v>
      </c>
      <c r="C228" s="9" t="s">
        <v>7</v>
      </c>
      <c r="D228" s="9" t="s">
        <v>7</v>
      </c>
      <c r="E228" s="9" t="s">
        <v>7</v>
      </c>
      <c r="F228" s="9" t="s">
        <v>7</v>
      </c>
      <c r="G228" s="9" t="s">
        <v>7</v>
      </c>
      <c r="H228" s="9" t="s">
        <v>7</v>
      </c>
      <c r="I228" s="9" t="s">
        <v>7</v>
      </c>
      <c r="J228" s="9" t="s">
        <v>7</v>
      </c>
      <c r="K228" s="9" t="s">
        <v>7</v>
      </c>
      <c r="L228" s="9" t="s">
        <v>7</v>
      </c>
      <c r="M228" s="9" t="s">
        <v>7</v>
      </c>
      <c r="N228" s="9" t="s">
        <v>7</v>
      </c>
      <c r="O228" s="77"/>
      <c r="P228" s="44"/>
      <c r="Q228" s="44"/>
      <c r="R228" s="44"/>
      <c r="S228" s="44"/>
      <c r="W228" s="51"/>
    </row>
    <row r="229" spans="1:23" ht="15.75" customHeight="1" thickBot="1" x14ac:dyDescent="0.25">
      <c r="A229" s="68"/>
      <c r="B229" s="36" t="s">
        <v>317</v>
      </c>
      <c r="C229" s="25" t="s">
        <v>7</v>
      </c>
      <c r="D229" s="25" t="s">
        <v>7</v>
      </c>
      <c r="E229" s="25" t="s">
        <v>7</v>
      </c>
      <c r="F229" s="25" t="s">
        <v>7</v>
      </c>
      <c r="G229" s="25" t="s">
        <v>7</v>
      </c>
      <c r="H229" s="25" t="s">
        <v>7</v>
      </c>
      <c r="I229" s="25" t="s">
        <v>7</v>
      </c>
      <c r="J229" s="25" t="s">
        <v>7</v>
      </c>
      <c r="K229" s="25" t="s">
        <v>7</v>
      </c>
      <c r="L229" s="25" t="s">
        <v>7</v>
      </c>
      <c r="M229" s="25" t="s">
        <v>7</v>
      </c>
      <c r="N229" s="25" t="s">
        <v>7</v>
      </c>
      <c r="O229" s="95"/>
      <c r="P229" s="43"/>
      <c r="Q229" s="43"/>
      <c r="R229" s="43"/>
      <c r="S229" s="43"/>
      <c r="T229" s="43"/>
      <c r="U229" s="43"/>
      <c r="V229" s="43"/>
      <c r="W229" s="51"/>
    </row>
    <row r="230" spans="1:23" ht="15.75" customHeight="1" x14ac:dyDescent="0.2">
      <c r="O230" s="44"/>
      <c r="P230" s="44"/>
      <c r="Q230" s="44"/>
      <c r="R230" s="44"/>
      <c r="S230" s="44"/>
      <c r="T230" s="44"/>
      <c r="U230" s="44"/>
    </row>
    <row r="231" spans="1:23" ht="16" customHeight="1" thickBot="1" x14ac:dyDescent="0.25">
      <c r="A231" s="103" t="s">
        <v>318</v>
      </c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</row>
    <row r="232" spans="1:23" x14ac:dyDescent="0.2">
      <c r="A232" s="66" t="s">
        <v>26</v>
      </c>
      <c r="B232" s="37" t="s">
        <v>230</v>
      </c>
      <c r="C232" s="23" t="s">
        <v>7</v>
      </c>
      <c r="D232" s="23" t="s">
        <v>7</v>
      </c>
      <c r="E232" s="23" t="s">
        <v>7</v>
      </c>
      <c r="F232" s="23" t="s">
        <v>7</v>
      </c>
      <c r="G232" s="23" t="s">
        <v>7</v>
      </c>
      <c r="H232" s="23" t="s">
        <v>7</v>
      </c>
      <c r="I232" s="23" t="s">
        <v>7</v>
      </c>
      <c r="J232" s="23" t="s">
        <v>7</v>
      </c>
      <c r="K232" s="23" t="s">
        <v>7</v>
      </c>
      <c r="L232" s="23" t="s">
        <v>7</v>
      </c>
      <c r="M232" s="23" t="s">
        <v>7</v>
      </c>
      <c r="N232" s="23" t="s">
        <v>7</v>
      </c>
      <c r="O232" s="76" t="s">
        <v>277</v>
      </c>
      <c r="P232" s="86" t="s">
        <v>278</v>
      </c>
      <c r="Q232" s="72" t="s">
        <v>279</v>
      </c>
      <c r="R232" s="81" t="s">
        <v>280</v>
      </c>
      <c r="S232" s="58" t="s">
        <v>281</v>
      </c>
      <c r="T232" s="74" t="s">
        <v>282</v>
      </c>
      <c r="U232" s="57" t="s">
        <v>283</v>
      </c>
      <c r="V232" s="53" t="s">
        <v>284</v>
      </c>
      <c r="W232" s="54" t="s">
        <v>285</v>
      </c>
    </row>
    <row r="233" spans="1:23" x14ac:dyDescent="0.2">
      <c r="A233" s="67"/>
      <c r="B233" s="7" t="s">
        <v>231</v>
      </c>
      <c r="C233" s="9" t="s">
        <v>7</v>
      </c>
      <c r="D233" s="9" t="s">
        <v>7</v>
      </c>
      <c r="E233" s="9" t="s">
        <v>7</v>
      </c>
      <c r="F233" s="9" t="s">
        <v>7</v>
      </c>
      <c r="G233" s="9" t="s">
        <v>7</v>
      </c>
      <c r="H233" s="9" t="s">
        <v>7</v>
      </c>
      <c r="I233" s="9" t="s">
        <v>7</v>
      </c>
      <c r="J233" s="9" t="s">
        <v>7</v>
      </c>
      <c r="K233" s="9" t="s">
        <v>7</v>
      </c>
      <c r="L233" s="9" t="s">
        <v>7</v>
      </c>
      <c r="M233" s="9" t="s">
        <v>7</v>
      </c>
      <c r="N233" s="9" t="s">
        <v>7</v>
      </c>
      <c r="O233" s="77"/>
      <c r="P233" s="51"/>
      <c r="Q233" s="51"/>
      <c r="R233" s="51"/>
      <c r="S233" s="51"/>
      <c r="T233" s="51"/>
      <c r="U233" s="51"/>
      <c r="V233" s="51"/>
      <c r="W233" s="51"/>
    </row>
    <row r="234" spans="1:23" x14ac:dyDescent="0.2">
      <c r="A234" s="67"/>
      <c r="B234" s="7" t="s">
        <v>137</v>
      </c>
      <c r="C234" s="9" t="s">
        <v>7</v>
      </c>
      <c r="D234" s="9" t="s">
        <v>7</v>
      </c>
      <c r="E234" s="9" t="s">
        <v>7</v>
      </c>
      <c r="F234" s="9" t="s">
        <v>7</v>
      </c>
      <c r="G234" s="9" t="s">
        <v>7</v>
      </c>
      <c r="H234" s="9" t="s">
        <v>7</v>
      </c>
      <c r="I234" s="9" t="s">
        <v>7</v>
      </c>
      <c r="J234" s="9" t="s">
        <v>7</v>
      </c>
      <c r="K234" s="9" t="s">
        <v>7</v>
      </c>
      <c r="L234" s="9" t="s">
        <v>7</v>
      </c>
      <c r="M234" s="9" t="s">
        <v>7</v>
      </c>
      <c r="N234" s="9" t="s">
        <v>7</v>
      </c>
      <c r="O234" s="77"/>
      <c r="P234" s="51"/>
      <c r="Q234" s="51"/>
      <c r="R234" s="51"/>
      <c r="S234" s="51"/>
      <c r="T234" s="51"/>
      <c r="U234" s="51"/>
      <c r="V234" s="51"/>
      <c r="W234" s="51"/>
    </row>
    <row r="235" spans="1:23" x14ac:dyDescent="0.2">
      <c r="A235" s="67"/>
      <c r="B235" s="7" t="s">
        <v>300</v>
      </c>
      <c r="C235" s="9" t="s">
        <v>7</v>
      </c>
      <c r="D235" s="9" t="s">
        <v>7</v>
      </c>
      <c r="E235" s="9" t="s">
        <v>7</v>
      </c>
      <c r="F235" s="9" t="s">
        <v>7</v>
      </c>
      <c r="G235" s="9" t="s">
        <v>7</v>
      </c>
      <c r="H235" s="9" t="s">
        <v>7</v>
      </c>
      <c r="I235" s="9" t="s">
        <v>7</v>
      </c>
      <c r="J235" s="9" t="s">
        <v>7</v>
      </c>
      <c r="K235" s="9" t="s">
        <v>7</v>
      </c>
      <c r="L235" s="9" t="s">
        <v>7</v>
      </c>
      <c r="M235" s="9" t="s">
        <v>7</v>
      </c>
      <c r="N235" s="9" t="s">
        <v>7</v>
      </c>
      <c r="O235" s="82"/>
      <c r="P235" s="51"/>
      <c r="Q235" s="51"/>
      <c r="R235" s="51"/>
      <c r="S235" s="51"/>
      <c r="T235" s="51"/>
      <c r="U235" s="51"/>
      <c r="V235" s="51"/>
      <c r="W235" s="51"/>
    </row>
    <row r="236" spans="1:23" x14ac:dyDescent="0.2">
      <c r="A236" s="67"/>
      <c r="B236" s="7" t="s">
        <v>232</v>
      </c>
      <c r="C236" s="9" t="s">
        <v>7</v>
      </c>
      <c r="D236" s="9" t="s">
        <v>7</v>
      </c>
      <c r="E236" s="9" t="s">
        <v>7</v>
      </c>
      <c r="F236" s="9" t="s">
        <v>7</v>
      </c>
      <c r="G236" s="9" t="s">
        <v>7</v>
      </c>
      <c r="H236" s="9" t="s">
        <v>7</v>
      </c>
      <c r="I236" s="9" t="s">
        <v>7</v>
      </c>
      <c r="J236" s="9" t="s">
        <v>7</v>
      </c>
      <c r="K236" s="9" t="s">
        <v>7</v>
      </c>
      <c r="L236" s="9" t="s">
        <v>7</v>
      </c>
      <c r="M236" s="9" t="s">
        <v>7</v>
      </c>
      <c r="N236" s="9" t="s">
        <v>7</v>
      </c>
      <c r="O236" s="77"/>
      <c r="P236" s="51"/>
      <c r="Q236" s="51"/>
      <c r="R236" s="51"/>
      <c r="S236" s="51"/>
      <c r="T236" s="51"/>
      <c r="U236" s="51"/>
      <c r="V236" s="51"/>
      <c r="W236" s="51"/>
    </row>
    <row r="237" spans="1:23" x14ac:dyDescent="0.2">
      <c r="A237" s="67"/>
      <c r="B237" s="7" t="s">
        <v>233</v>
      </c>
      <c r="C237" s="9" t="s">
        <v>7</v>
      </c>
      <c r="D237" s="9" t="s">
        <v>7</v>
      </c>
      <c r="E237" s="9" t="s">
        <v>7</v>
      </c>
      <c r="F237" s="9" t="s">
        <v>7</v>
      </c>
      <c r="G237" s="9" t="s">
        <v>7</v>
      </c>
      <c r="H237" s="9" t="s">
        <v>7</v>
      </c>
      <c r="I237" s="9" t="s">
        <v>7</v>
      </c>
      <c r="J237" s="9" t="s">
        <v>7</v>
      </c>
      <c r="K237" s="9" t="s">
        <v>7</v>
      </c>
      <c r="L237" s="9" t="s">
        <v>7</v>
      </c>
      <c r="M237" s="9" t="s">
        <v>7</v>
      </c>
      <c r="N237" s="9" t="s">
        <v>7</v>
      </c>
      <c r="O237" s="77"/>
      <c r="P237" s="51"/>
      <c r="Q237" s="51"/>
      <c r="R237" s="51"/>
      <c r="S237" s="51"/>
      <c r="T237" s="51"/>
      <c r="U237" s="51"/>
      <c r="V237" s="51"/>
      <c r="W237" s="51"/>
    </row>
    <row r="238" spans="1:23" x14ac:dyDescent="0.2">
      <c r="A238" s="67"/>
      <c r="B238" s="7" t="s">
        <v>234</v>
      </c>
      <c r="C238" s="9" t="s">
        <v>7</v>
      </c>
      <c r="D238" s="9" t="s">
        <v>7</v>
      </c>
      <c r="E238" s="9" t="s">
        <v>7</v>
      </c>
      <c r="F238" s="9" t="s">
        <v>7</v>
      </c>
      <c r="G238" s="9" t="s">
        <v>7</v>
      </c>
      <c r="H238" s="9" t="s">
        <v>7</v>
      </c>
      <c r="I238" s="9" t="s">
        <v>7</v>
      </c>
      <c r="J238" s="9" t="s">
        <v>7</v>
      </c>
      <c r="K238" s="9" t="s">
        <v>7</v>
      </c>
      <c r="L238" s="9" t="s">
        <v>7</v>
      </c>
      <c r="M238" s="9" t="s">
        <v>7</v>
      </c>
      <c r="N238" s="9" t="s">
        <v>7</v>
      </c>
      <c r="O238" s="77"/>
      <c r="P238" s="51"/>
      <c r="Q238" s="51"/>
      <c r="R238" s="51"/>
      <c r="S238" s="51"/>
      <c r="T238" s="51"/>
      <c r="U238" s="51"/>
      <c r="V238" s="51"/>
      <c r="W238" s="51"/>
    </row>
    <row r="239" spans="1:23" x14ac:dyDescent="0.2">
      <c r="A239" s="67"/>
      <c r="B239" s="7" t="s">
        <v>235</v>
      </c>
      <c r="C239" s="9" t="s">
        <v>7</v>
      </c>
      <c r="D239" s="9" t="s">
        <v>7</v>
      </c>
      <c r="E239" s="9" t="s">
        <v>7</v>
      </c>
      <c r="F239" s="9" t="s">
        <v>7</v>
      </c>
      <c r="G239" s="9" t="s">
        <v>7</v>
      </c>
      <c r="H239" s="9" t="s">
        <v>7</v>
      </c>
      <c r="I239" s="9" t="s">
        <v>7</v>
      </c>
      <c r="J239" s="9" t="s">
        <v>7</v>
      </c>
      <c r="K239" s="9" t="s">
        <v>7</v>
      </c>
      <c r="L239" s="9" t="s">
        <v>7</v>
      </c>
      <c r="M239" s="9" t="s">
        <v>7</v>
      </c>
      <c r="N239" s="9" t="s">
        <v>7</v>
      </c>
      <c r="O239" s="77"/>
      <c r="P239" s="44"/>
      <c r="Q239" s="51"/>
      <c r="R239" s="51"/>
      <c r="S239" s="51"/>
      <c r="T239" s="51"/>
      <c r="U239" s="51"/>
      <c r="V239" s="51"/>
      <c r="W239" s="51"/>
    </row>
    <row r="240" spans="1:23" x14ac:dyDescent="0.2">
      <c r="A240" s="67"/>
      <c r="B240" s="7" t="s">
        <v>236</v>
      </c>
      <c r="C240" s="9" t="s">
        <v>7</v>
      </c>
      <c r="D240" s="9" t="s">
        <v>7</v>
      </c>
      <c r="E240" s="9" t="s">
        <v>7</v>
      </c>
      <c r="F240" s="9" t="s">
        <v>7</v>
      </c>
      <c r="G240" s="9" t="s">
        <v>7</v>
      </c>
      <c r="H240" s="9" t="s">
        <v>7</v>
      </c>
      <c r="I240" s="9" t="s">
        <v>7</v>
      </c>
      <c r="J240" s="9" t="s">
        <v>7</v>
      </c>
      <c r="K240" s="9" t="s">
        <v>7</v>
      </c>
      <c r="L240" s="9" t="s">
        <v>7</v>
      </c>
      <c r="M240" s="9" t="s">
        <v>7</v>
      </c>
      <c r="N240" s="9" t="s">
        <v>7</v>
      </c>
      <c r="O240" s="77"/>
      <c r="P240" s="44"/>
      <c r="Q240" s="51"/>
      <c r="R240" s="51"/>
      <c r="S240" s="51"/>
      <c r="T240" s="51"/>
      <c r="U240" s="51"/>
      <c r="V240" s="51"/>
      <c r="W240" s="51"/>
    </row>
    <row r="241" spans="1:23" x14ac:dyDescent="0.2">
      <c r="A241" s="67"/>
      <c r="B241" s="7" t="s">
        <v>319</v>
      </c>
      <c r="C241" s="9" t="s">
        <v>7</v>
      </c>
      <c r="D241" s="9" t="s">
        <v>7</v>
      </c>
      <c r="E241" s="9" t="s">
        <v>7</v>
      </c>
      <c r="F241" s="9" t="s">
        <v>7</v>
      </c>
      <c r="G241" s="9" t="s">
        <v>7</v>
      </c>
      <c r="H241" s="9" t="s">
        <v>7</v>
      </c>
      <c r="I241" s="9" t="s">
        <v>7</v>
      </c>
      <c r="J241" s="9" t="s">
        <v>7</v>
      </c>
      <c r="K241" s="9" t="s">
        <v>7</v>
      </c>
      <c r="L241" s="9" t="s">
        <v>7</v>
      </c>
      <c r="M241" s="9" t="s">
        <v>7</v>
      </c>
      <c r="N241" s="9" t="s">
        <v>7</v>
      </c>
      <c r="O241" s="77"/>
      <c r="P241" s="44"/>
      <c r="Q241" s="51"/>
      <c r="R241" s="51"/>
      <c r="S241" s="51"/>
      <c r="T241" s="51"/>
      <c r="U241" s="51"/>
      <c r="V241" s="51"/>
      <c r="W241" s="51"/>
    </row>
    <row r="242" spans="1:23" x14ac:dyDescent="0.2">
      <c r="A242" s="67"/>
      <c r="B242" s="7" t="s">
        <v>150</v>
      </c>
      <c r="C242" s="9" t="s">
        <v>7</v>
      </c>
      <c r="D242" s="9" t="s">
        <v>7</v>
      </c>
      <c r="E242" s="9" t="s">
        <v>7</v>
      </c>
      <c r="F242" s="9" t="s">
        <v>7</v>
      </c>
      <c r="G242" s="9" t="s">
        <v>7</v>
      </c>
      <c r="H242" s="9" t="s">
        <v>7</v>
      </c>
      <c r="I242" s="9" t="s">
        <v>7</v>
      </c>
      <c r="J242" s="9" t="s">
        <v>7</v>
      </c>
      <c r="K242" s="9" t="s">
        <v>7</v>
      </c>
      <c r="L242" s="9" t="s">
        <v>7</v>
      </c>
      <c r="M242" s="9" t="s">
        <v>7</v>
      </c>
      <c r="N242" s="9" t="s">
        <v>7</v>
      </c>
      <c r="O242" s="77"/>
      <c r="P242" s="44"/>
      <c r="Q242" s="51"/>
      <c r="R242" s="51"/>
      <c r="S242" s="51"/>
      <c r="T242" s="51"/>
      <c r="U242" s="51"/>
      <c r="V242" s="51"/>
      <c r="W242" s="51"/>
    </row>
    <row r="243" spans="1:23" x14ac:dyDescent="0.2">
      <c r="A243" s="67"/>
      <c r="B243" s="7" t="s">
        <v>237</v>
      </c>
      <c r="C243" s="9" t="s">
        <v>7</v>
      </c>
      <c r="D243" s="9" t="s">
        <v>7</v>
      </c>
      <c r="E243" s="9" t="s">
        <v>7</v>
      </c>
      <c r="F243" s="9" t="s">
        <v>7</v>
      </c>
      <c r="G243" s="9" t="s">
        <v>7</v>
      </c>
      <c r="H243" s="9" t="s">
        <v>7</v>
      </c>
      <c r="I243" s="9" t="s">
        <v>7</v>
      </c>
      <c r="J243" s="9" t="s">
        <v>7</v>
      </c>
      <c r="K243" s="9" t="s">
        <v>7</v>
      </c>
      <c r="L243" s="9" t="s">
        <v>7</v>
      </c>
      <c r="M243" s="9" t="s">
        <v>7</v>
      </c>
      <c r="N243" s="9" t="s">
        <v>7</v>
      </c>
      <c r="O243" s="77"/>
      <c r="P243" s="44"/>
      <c r="Q243" s="44"/>
      <c r="R243" s="51"/>
      <c r="S243" s="51"/>
      <c r="T243" s="51"/>
      <c r="U243" s="51"/>
      <c r="V243" s="51"/>
      <c r="W243" s="51"/>
    </row>
    <row r="244" spans="1:23" x14ac:dyDescent="0.2">
      <c r="A244" s="67"/>
      <c r="B244" s="7" t="s">
        <v>207</v>
      </c>
      <c r="C244" s="9" t="s">
        <v>7</v>
      </c>
      <c r="D244" s="9" t="s">
        <v>7</v>
      </c>
      <c r="E244" s="9" t="s">
        <v>7</v>
      </c>
      <c r="F244" s="9" t="s">
        <v>7</v>
      </c>
      <c r="G244" s="9" t="s">
        <v>7</v>
      </c>
      <c r="H244" s="9" t="s">
        <v>7</v>
      </c>
      <c r="I244" s="9" t="s">
        <v>7</v>
      </c>
      <c r="J244" s="9" t="s">
        <v>7</v>
      </c>
      <c r="K244" s="9" t="s">
        <v>7</v>
      </c>
      <c r="L244" s="9" t="s">
        <v>7</v>
      </c>
      <c r="M244" s="9" t="s">
        <v>7</v>
      </c>
      <c r="N244" s="9" t="s">
        <v>7</v>
      </c>
      <c r="O244" s="77"/>
      <c r="P244" s="44"/>
      <c r="Q244" s="44"/>
      <c r="R244" s="51"/>
      <c r="S244" s="51"/>
      <c r="T244" s="51"/>
      <c r="U244" s="51"/>
      <c r="V244" s="51"/>
      <c r="W244" s="51"/>
    </row>
    <row r="245" spans="1:23" x14ac:dyDescent="0.2">
      <c r="A245" s="67"/>
      <c r="B245" s="7" t="s">
        <v>238</v>
      </c>
      <c r="C245" s="9" t="s">
        <v>7</v>
      </c>
      <c r="D245" s="9" t="s">
        <v>7</v>
      </c>
      <c r="E245" s="9" t="s">
        <v>7</v>
      </c>
      <c r="F245" s="9" t="s">
        <v>7</v>
      </c>
      <c r="G245" s="9" t="s">
        <v>7</v>
      </c>
      <c r="H245" s="9" t="s">
        <v>7</v>
      </c>
      <c r="I245" s="9" t="s">
        <v>7</v>
      </c>
      <c r="J245" s="9" t="s">
        <v>7</v>
      </c>
      <c r="K245" s="9" t="s">
        <v>7</v>
      </c>
      <c r="L245" s="9" t="s">
        <v>7</v>
      </c>
      <c r="M245" s="9" t="s">
        <v>7</v>
      </c>
      <c r="N245" s="9" t="s">
        <v>7</v>
      </c>
      <c r="O245" s="77"/>
      <c r="P245" s="44"/>
      <c r="Q245" s="44"/>
      <c r="R245" s="51"/>
      <c r="S245" s="51"/>
      <c r="T245" s="51"/>
      <c r="U245" s="51"/>
      <c r="V245" s="51"/>
      <c r="W245" s="51"/>
    </row>
    <row r="246" spans="1:23" x14ac:dyDescent="0.2">
      <c r="A246" s="67"/>
      <c r="B246" s="7" t="s">
        <v>239</v>
      </c>
      <c r="C246" s="9" t="s">
        <v>7</v>
      </c>
      <c r="D246" s="9" t="s">
        <v>7</v>
      </c>
      <c r="E246" s="9" t="s">
        <v>7</v>
      </c>
      <c r="F246" s="9" t="s">
        <v>7</v>
      </c>
      <c r="G246" s="9" t="s">
        <v>7</v>
      </c>
      <c r="H246" s="9" t="s">
        <v>7</v>
      </c>
      <c r="I246" s="9" t="s">
        <v>7</v>
      </c>
      <c r="J246" s="9" t="s">
        <v>7</v>
      </c>
      <c r="K246" s="9" t="s">
        <v>7</v>
      </c>
      <c r="L246" s="9" t="s">
        <v>7</v>
      </c>
      <c r="M246" s="9" t="s">
        <v>7</v>
      </c>
      <c r="N246" s="9" t="s">
        <v>7</v>
      </c>
      <c r="O246" s="77"/>
      <c r="P246" s="45"/>
      <c r="Q246" s="44"/>
      <c r="R246" s="44"/>
      <c r="S246" s="51"/>
      <c r="T246" s="51"/>
      <c r="U246" s="51"/>
      <c r="V246" s="51"/>
      <c r="W246" s="51"/>
    </row>
    <row r="247" spans="1:23" x14ac:dyDescent="0.2">
      <c r="A247" s="67"/>
      <c r="B247" s="7" t="s">
        <v>240</v>
      </c>
      <c r="C247" s="9" t="s">
        <v>7</v>
      </c>
      <c r="D247" s="9" t="s">
        <v>7</v>
      </c>
      <c r="E247" s="9" t="s">
        <v>7</v>
      </c>
      <c r="F247" s="9" t="s">
        <v>7</v>
      </c>
      <c r="G247" s="9" t="s">
        <v>7</v>
      </c>
      <c r="H247" s="9" t="s">
        <v>7</v>
      </c>
      <c r="I247" s="9" t="s">
        <v>7</v>
      </c>
      <c r="J247" s="9" t="s">
        <v>7</v>
      </c>
      <c r="K247" s="9" t="s">
        <v>7</v>
      </c>
      <c r="L247" s="9" t="s">
        <v>7</v>
      </c>
      <c r="M247" s="9" t="s">
        <v>7</v>
      </c>
      <c r="N247" s="9" t="s">
        <v>7</v>
      </c>
      <c r="O247" s="77"/>
      <c r="T247" s="51"/>
      <c r="U247" s="51"/>
      <c r="V247" s="51"/>
      <c r="W247" s="51"/>
    </row>
    <row r="248" spans="1:23" x14ac:dyDescent="0.2">
      <c r="A248" s="67"/>
      <c r="B248" s="7" t="s">
        <v>241</v>
      </c>
      <c r="C248" s="9" t="s">
        <v>7</v>
      </c>
      <c r="D248" s="9" t="s">
        <v>7</v>
      </c>
      <c r="E248" s="9" t="s">
        <v>7</v>
      </c>
      <c r="F248" s="9" t="s">
        <v>7</v>
      </c>
      <c r="G248" s="9" t="s">
        <v>7</v>
      </c>
      <c r="H248" s="9" t="s">
        <v>7</v>
      </c>
      <c r="I248" s="9" t="s">
        <v>7</v>
      </c>
      <c r="J248" s="9" t="s">
        <v>7</v>
      </c>
      <c r="K248" s="9" t="s">
        <v>7</v>
      </c>
      <c r="L248" s="9" t="s">
        <v>7</v>
      </c>
      <c r="M248" s="9" t="s">
        <v>7</v>
      </c>
      <c r="N248" s="9" t="s">
        <v>7</v>
      </c>
      <c r="O248" s="77"/>
      <c r="U248" s="51"/>
      <c r="V248" s="51"/>
      <c r="W248" s="51"/>
    </row>
    <row r="249" spans="1:23" x14ac:dyDescent="0.2">
      <c r="A249" s="67"/>
      <c r="B249" s="7" t="s">
        <v>242</v>
      </c>
      <c r="C249" s="9" t="s">
        <v>7</v>
      </c>
      <c r="D249" s="9" t="s">
        <v>7</v>
      </c>
      <c r="E249" s="9" t="s">
        <v>7</v>
      </c>
      <c r="F249" s="9" t="s">
        <v>7</v>
      </c>
      <c r="G249" s="9" t="s">
        <v>7</v>
      </c>
      <c r="H249" s="9" t="s">
        <v>7</v>
      </c>
      <c r="I249" s="9" t="s">
        <v>7</v>
      </c>
      <c r="J249" s="9" t="s">
        <v>7</v>
      </c>
      <c r="K249" s="9" t="s">
        <v>7</v>
      </c>
      <c r="L249" s="9" t="s">
        <v>7</v>
      </c>
      <c r="M249" s="9" t="s">
        <v>7</v>
      </c>
      <c r="N249" s="9" t="s">
        <v>7</v>
      </c>
      <c r="O249" s="77"/>
      <c r="V249" s="51"/>
      <c r="W249" s="51"/>
    </row>
    <row r="250" spans="1:23" x14ac:dyDescent="0.2">
      <c r="A250" s="67"/>
      <c r="B250" s="7" t="s">
        <v>243</v>
      </c>
      <c r="C250" s="9" t="s">
        <v>7</v>
      </c>
      <c r="D250" s="9" t="s">
        <v>7</v>
      </c>
      <c r="E250" s="9" t="s">
        <v>7</v>
      </c>
      <c r="F250" s="9" t="s">
        <v>7</v>
      </c>
      <c r="G250" s="9" t="s">
        <v>7</v>
      </c>
      <c r="H250" s="9" t="s">
        <v>7</v>
      </c>
      <c r="I250" s="9" t="s">
        <v>7</v>
      </c>
      <c r="J250" s="9" t="s">
        <v>7</v>
      </c>
      <c r="K250" s="9" t="s">
        <v>7</v>
      </c>
      <c r="L250" s="9" t="s">
        <v>7</v>
      </c>
      <c r="M250" s="9" t="s">
        <v>7</v>
      </c>
      <c r="N250" s="9" t="s">
        <v>7</v>
      </c>
      <c r="O250" s="77"/>
      <c r="V250" s="51"/>
      <c r="W250" s="51"/>
    </row>
    <row r="251" spans="1:23" x14ac:dyDescent="0.2">
      <c r="A251" s="67"/>
      <c r="B251" s="7" t="s">
        <v>244</v>
      </c>
      <c r="C251" s="9" t="s">
        <v>7</v>
      </c>
      <c r="D251" s="9" t="s">
        <v>7</v>
      </c>
      <c r="E251" s="9" t="s">
        <v>7</v>
      </c>
      <c r="F251" s="9" t="s">
        <v>7</v>
      </c>
      <c r="G251" s="9" t="s">
        <v>7</v>
      </c>
      <c r="H251" s="9" t="s">
        <v>7</v>
      </c>
      <c r="I251" s="9" t="s">
        <v>7</v>
      </c>
      <c r="J251" s="9" t="s">
        <v>7</v>
      </c>
      <c r="K251" s="9" t="s">
        <v>7</v>
      </c>
      <c r="L251" s="9" t="s">
        <v>7</v>
      </c>
      <c r="M251" s="9" t="s">
        <v>7</v>
      </c>
      <c r="N251" s="9" t="s">
        <v>7</v>
      </c>
      <c r="O251" s="77"/>
      <c r="W251" s="51"/>
    </row>
    <row r="252" spans="1:23" x14ac:dyDescent="0.2">
      <c r="A252" s="67"/>
      <c r="B252" s="7" t="s">
        <v>245</v>
      </c>
      <c r="C252" s="9" t="s">
        <v>7</v>
      </c>
      <c r="D252" s="9" t="s">
        <v>7</v>
      </c>
      <c r="E252" s="9" t="s">
        <v>7</v>
      </c>
      <c r="F252" s="9" t="s">
        <v>7</v>
      </c>
      <c r="G252" s="9" t="s">
        <v>7</v>
      </c>
      <c r="H252" s="9" t="s">
        <v>7</v>
      </c>
      <c r="I252" s="9" t="s">
        <v>7</v>
      </c>
      <c r="J252" s="9" t="s">
        <v>7</v>
      </c>
      <c r="K252" s="9" t="s">
        <v>7</v>
      </c>
      <c r="L252" s="9" t="s">
        <v>7</v>
      </c>
      <c r="M252" s="9" t="s">
        <v>7</v>
      </c>
      <c r="N252" s="9" t="s">
        <v>7</v>
      </c>
      <c r="O252" s="77"/>
      <c r="W252" s="51"/>
    </row>
    <row r="253" spans="1:23" x14ac:dyDescent="0.2">
      <c r="A253" s="67"/>
      <c r="B253" s="7" t="s">
        <v>246</v>
      </c>
      <c r="C253" s="9" t="s">
        <v>7</v>
      </c>
      <c r="D253" s="9" t="s">
        <v>7</v>
      </c>
      <c r="E253" s="9" t="s">
        <v>7</v>
      </c>
      <c r="F253" s="9" t="s">
        <v>7</v>
      </c>
      <c r="G253" s="9" t="s">
        <v>7</v>
      </c>
      <c r="H253" s="9" t="s">
        <v>7</v>
      </c>
      <c r="I253" s="9" t="s">
        <v>7</v>
      </c>
      <c r="J253" s="9" t="s">
        <v>7</v>
      </c>
      <c r="K253" s="9" t="s">
        <v>7</v>
      </c>
      <c r="L253" s="9" t="s">
        <v>7</v>
      </c>
      <c r="M253" s="9" t="s">
        <v>7</v>
      </c>
      <c r="N253" s="9" t="s">
        <v>7</v>
      </c>
      <c r="O253" s="77"/>
      <c r="W253" s="51"/>
    </row>
    <row r="254" spans="1:23" x14ac:dyDescent="0.2">
      <c r="A254" s="67"/>
      <c r="B254" s="7" t="s">
        <v>247</v>
      </c>
      <c r="C254" s="9" t="s">
        <v>7</v>
      </c>
      <c r="D254" s="9" t="s">
        <v>7</v>
      </c>
      <c r="E254" s="9" t="s">
        <v>7</v>
      </c>
      <c r="F254" s="9" t="s">
        <v>7</v>
      </c>
      <c r="G254" s="9" t="s">
        <v>7</v>
      </c>
      <c r="H254" s="9" t="s">
        <v>7</v>
      </c>
      <c r="I254" s="9" t="s">
        <v>7</v>
      </c>
      <c r="J254" s="9" t="s">
        <v>7</v>
      </c>
      <c r="K254" s="9" t="s">
        <v>7</v>
      </c>
      <c r="L254" s="9" t="s">
        <v>7</v>
      </c>
      <c r="M254" s="9" t="s">
        <v>7</v>
      </c>
      <c r="N254" s="9" t="s">
        <v>7</v>
      </c>
      <c r="O254" s="77"/>
      <c r="W254" s="51"/>
    </row>
    <row r="255" spans="1:23" x14ac:dyDescent="0.2">
      <c r="A255" s="67"/>
      <c r="B255" s="7" t="s">
        <v>248</v>
      </c>
      <c r="C255" s="9" t="s">
        <v>7</v>
      </c>
      <c r="D255" s="9" t="s">
        <v>7</v>
      </c>
      <c r="E255" s="9" t="s">
        <v>7</v>
      </c>
      <c r="F255" s="9" t="s">
        <v>7</v>
      </c>
      <c r="G255" s="9" t="s">
        <v>7</v>
      </c>
      <c r="H255" s="9" t="s">
        <v>7</v>
      </c>
      <c r="I255" s="9" t="s">
        <v>7</v>
      </c>
      <c r="J255" s="9" t="s">
        <v>7</v>
      </c>
      <c r="K255" s="9" t="s">
        <v>7</v>
      </c>
      <c r="L255" s="9" t="s">
        <v>7</v>
      </c>
      <c r="M255" s="9" t="s">
        <v>7</v>
      </c>
      <c r="N255" s="9" t="s">
        <v>7</v>
      </c>
      <c r="O255" s="77"/>
      <c r="W255" s="51"/>
    </row>
    <row r="256" spans="1:23" x14ac:dyDescent="0.2">
      <c r="A256" s="67"/>
      <c r="B256" s="7" t="s">
        <v>249</v>
      </c>
      <c r="C256" s="9" t="s">
        <v>7</v>
      </c>
      <c r="D256" s="9" t="s">
        <v>7</v>
      </c>
      <c r="E256" s="9" t="s">
        <v>7</v>
      </c>
      <c r="F256" s="9" t="s">
        <v>7</v>
      </c>
      <c r="G256" s="9" t="s">
        <v>7</v>
      </c>
      <c r="H256" s="9" t="s">
        <v>7</v>
      </c>
      <c r="I256" s="9" t="s">
        <v>7</v>
      </c>
      <c r="J256" s="9" t="s">
        <v>7</v>
      </c>
      <c r="K256" s="9" t="s">
        <v>7</v>
      </c>
      <c r="L256" s="9" t="s">
        <v>7</v>
      </c>
      <c r="M256" s="9" t="s">
        <v>7</v>
      </c>
      <c r="N256" s="9" t="s">
        <v>7</v>
      </c>
      <c r="O256" s="77"/>
      <c r="W256" s="51"/>
    </row>
    <row r="257" spans="1:23" x14ac:dyDescent="0.2">
      <c r="A257" s="67"/>
      <c r="B257" s="7" t="s">
        <v>250</v>
      </c>
      <c r="C257" s="9" t="s">
        <v>7</v>
      </c>
      <c r="D257" s="9" t="s">
        <v>7</v>
      </c>
      <c r="E257" s="9" t="s">
        <v>7</v>
      </c>
      <c r="F257" s="9" t="s">
        <v>7</v>
      </c>
      <c r="G257" s="9" t="s">
        <v>7</v>
      </c>
      <c r="H257" s="9" t="s">
        <v>7</v>
      </c>
      <c r="I257" s="9" t="s">
        <v>7</v>
      </c>
      <c r="J257" s="9" t="s">
        <v>7</v>
      </c>
      <c r="K257" s="9" t="s">
        <v>7</v>
      </c>
      <c r="L257" s="9" t="s">
        <v>7</v>
      </c>
      <c r="M257" s="9" t="s">
        <v>7</v>
      </c>
      <c r="N257" s="9" t="s">
        <v>7</v>
      </c>
      <c r="O257" s="77"/>
      <c r="W257" s="51"/>
    </row>
    <row r="258" spans="1:23" x14ac:dyDescent="0.2">
      <c r="A258" s="67"/>
      <c r="B258" s="7" t="s">
        <v>251</v>
      </c>
      <c r="C258" s="9" t="s">
        <v>7</v>
      </c>
      <c r="D258" s="9" t="s">
        <v>7</v>
      </c>
      <c r="E258" s="9" t="s">
        <v>7</v>
      </c>
      <c r="F258" s="9" t="s">
        <v>7</v>
      </c>
      <c r="G258" s="9" t="s">
        <v>7</v>
      </c>
      <c r="H258" s="9" t="s">
        <v>7</v>
      </c>
      <c r="I258" s="9" t="s">
        <v>7</v>
      </c>
      <c r="J258" s="9" t="s">
        <v>7</v>
      </c>
      <c r="K258" s="9" t="s">
        <v>7</v>
      </c>
      <c r="L258" s="9" t="s">
        <v>7</v>
      </c>
      <c r="M258" s="9" t="s">
        <v>7</v>
      </c>
      <c r="N258" s="9" t="s">
        <v>7</v>
      </c>
      <c r="O258" s="77"/>
      <c r="W258" s="51"/>
    </row>
    <row r="259" spans="1:23" ht="15.75" customHeight="1" thickBot="1" x14ac:dyDescent="0.25">
      <c r="A259" s="68"/>
      <c r="B259" s="38" t="s">
        <v>252</v>
      </c>
      <c r="C259" s="25" t="s">
        <v>7</v>
      </c>
      <c r="D259" s="25" t="s">
        <v>7</v>
      </c>
      <c r="E259" s="25" t="s">
        <v>7</v>
      </c>
      <c r="F259" s="25" t="s">
        <v>7</v>
      </c>
      <c r="G259" s="25" t="s">
        <v>7</v>
      </c>
      <c r="H259" s="25" t="s">
        <v>7</v>
      </c>
      <c r="I259" s="25" t="s">
        <v>7</v>
      </c>
      <c r="J259" s="25" t="s">
        <v>7</v>
      </c>
      <c r="K259" s="25" t="s">
        <v>7</v>
      </c>
      <c r="L259" s="25" t="s">
        <v>7</v>
      </c>
      <c r="M259" s="25" t="s">
        <v>7</v>
      </c>
      <c r="N259" s="25" t="s">
        <v>7</v>
      </c>
      <c r="O259" s="77"/>
      <c r="W259" s="51"/>
    </row>
    <row r="260" spans="1:23" x14ac:dyDescent="0.2">
      <c r="A260" s="66" t="s">
        <v>27</v>
      </c>
      <c r="B260" s="37" t="s">
        <v>320</v>
      </c>
      <c r="C260" s="23" t="s">
        <v>7</v>
      </c>
      <c r="D260" s="23" t="s">
        <v>7</v>
      </c>
      <c r="E260" s="23" t="s">
        <v>7</v>
      </c>
      <c r="F260" s="23" t="s">
        <v>7</v>
      </c>
      <c r="G260" s="23" t="s">
        <v>7</v>
      </c>
      <c r="H260" s="23" t="s">
        <v>7</v>
      </c>
      <c r="I260" s="23" t="s">
        <v>7</v>
      </c>
      <c r="J260" s="23" t="s">
        <v>7</v>
      </c>
      <c r="K260" s="23" t="s">
        <v>7</v>
      </c>
      <c r="L260" s="23" t="s">
        <v>7</v>
      </c>
      <c r="M260" s="23" t="s">
        <v>7</v>
      </c>
      <c r="N260" s="23" t="s">
        <v>7</v>
      </c>
      <c r="O260" s="76" t="s">
        <v>277</v>
      </c>
      <c r="P260" s="86" t="s">
        <v>278</v>
      </c>
      <c r="Q260" s="72" t="s">
        <v>279</v>
      </c>
      <c r="R260" s="81" t="s">
        <v>280</v>
      </c>
      <c r="S260" s="58" t="s">
        <v>281</v>
      </c>
      <c r="T260" s="74" t="s">
        <v>282</v>
      </c>
      <c r="U260" s="57" t="s">
        <v>283</v>
      </c>
      <c r="V260" s="53" t="s">
        <v>284</v>
      </c>
      <c r="W260" s="54" t="s">
        <v>285</v>
      </c>
    </row>
    <row r="261" spans="1:23" x14ac:dyDescent="0.2">
      <c r="A261" s="67"/>
      <c r="B261" s="7" t="s">
        <v>254</v>
      </c>
      <c r="C261" s="9" t="s">
        <v>7</v>
      </c>
      <c r="D261" s="9" t="s">
        <v>7</v>
      </c>
      <c r="E261" s="9" t="s">
        <v>7</v>
      </c>
      <c r="F261" s="9" t="s">
        <v>7</v>
      </c>
      <c r="G261" s="9" t="s">
        <v>7</v>
      </c>
      <c r="H261" s="9" t="s">
        <v>7</v>
      </c>
      <c r="I261" s="9" t="s">
        <v>7</v>
      </c>
      <c r="J261" s="9" t="s">
        <v>7</v>
      </c>
      <c r="K261" s="9" t="s">
        <v>7</v>
      </c>
      <c r="L261" s="9" t="s">
        <v>7</v>
      </c>
      <c r="M261" s="9" t="s">
        <v>7</v>
      </c>
      <c r="N261" s="9" t="s">
        <v>7</v>
      </c>
      <c r="O261" s="77"/>
      <c r="P261" s="51"/>
      <c r="Q261" s="51"/>
      <c r="R261" s="51"/>
      <c r="S261" s="51"/>
      <c r="T261" s="51"/>
      <c r="U261" s="51"/>
      <c r="V261" s="51"/>
      <c r="W261" s="51"/>
    </row>
    <row r="262" spans="1:23" x14ac:dyDescent="0.2">
      <c r="A262" s="67"/>
      <c r="B262" s="7" t="s">
        <v>321</v>
      </c>
      <c r="C262" s="9" t="s">
        <v>7</v>
      </c>
      <c r="D262" s="9" t="s">
        <v>7</v>
      </c>
      <c r="E262" s="9" t="s">
        <v>7</v>
      </c>
      <c r="F262" s="9" t="s">
        <v>7</v>
      </c>
      <c r="G262" s="9" t="s">
        <v>7</v>
      </c>
      <c r="H262" s="9" t="s">
        <v>7</v>
      </c>
      <c r="I262" s="9" t="s">
        <v>7</v>
      </c>
      <c r="J262" s="9" t="s">
        <v>7</v>
      </c>
      <c r="K262" s="9" t="s">
        <v>7</v>
      </c>
      <c r="L262" s="9" t="s">
        <v>7</v>
      </c>
      <c r="M262" s="9" t="s">
        <v>7</v>
      </c>
      <c r="N262" s="9" t="s">
        <v>7</v>
      </c>
      <c r="O262" s="82"/>
      <c r="P262" s="51"/>
      <c r="Q262" s="51"/>
      <c r="R262" s="51"/>
      <c r="S262" s="51"/>
      <c r="T262" s="51"/>
      <c r="U262" s="51"/>
      <c r="V262" s="51"/>
      <c r="W262" s="51"/>
    </row>
    <row r="263" spans="1:23" x14ac:dyDescent="0.2">
      <c r="A263" s="67"/>
      <c r="B263" s="7" t="s">
        <v>256</v>
      </c>
      <c r="C263" s="9" t="s">
        <v>7</v>
      </c>
      <c r="D263" s="9" t="s">
        <v>7</v>
      </c>
      <c r="E263" s="9" t="s">
        <v>7</v>
      </c>
      <c r="F263" s="9" t="s">
        <v>7</v>
      </c>
      <c r="G263" s="9" t="s">
        <v>7</v>
      </c>
      <c r="H263" s="9" t="s">
        <v>7</v>
      </c>
      <c r="I263" s="9" t="s">
        <v>7</v>
      </c>
      <c r="J263" s="9" t="s">
        <v>7</v>
      </c>
      <c r="K263" s="9" t="s">
        <v>7</v>
      </c>
      <c r="L263" s="9" t="s">
        <v>7</v>
      </c>
      <c r="M263" s="9" t="s">
        <v>7</v>
      </c>
      <c r="N263" s="9" t="s">
        <v>7</v>
      </c>
      <c r="O263" s="77"/>
      <c r="P263" s="51"/>
      <c r="Q263" s="51"/>
      <c r="R263" s="51"/>
      <c r="S263" s="51"/>
      <c r="T263" s="51"/>
      <c r="U263" s="51"/>
      <c r="V263" s="51"/>
      <c r="W263" s="51"/>
    </row>
    <row r="264" spans="1:23" x14ac:dyDescent="0.2">
      <c r="A264" s="67"/>
      <c r="B264" s="7" t="s">
        <v>257</v>
      </c>
      <c r="C264" s="9" t="s">
        <v>7</v>
      </c>
      <c r="D264" s="9" t="s">
        <v>7</v>
      </c>
      <c r="E264" s="9" t="s">
        <v>7</v>
      </c>
      <c r="F264" s="9" t="s">
        <v>7</v>
      </c>
      <c r="G264" s="9" t="s">
        <v>7</v>
      </c>
      <c r="H264" s="9" t="s">
        <v>7</v>
      </c>
      <c r="I264" s="9" t="s">
        <v>7</v>
      </c>
      <c r="J264" s="9" t="s">
        <v>7</v>
      </c>
      <c r="K264" s="9" t="s">
        <v>7</v>
      </c>
      <c r="L264" s="9" t="s">
        <v>7</v>
      </c>
      <c r="M264" s="9" t="s">
        <v>7</v>
      </c>
      <c r="N264" s="9" t="s">
        <v>7</v>
      </c>
      <c r="O264" s="77"/>
      <c r="P264" s="44"/>
      <c r="Q264" s="51"/>
      <c r="R264" s="51"/>
      <c r="S264" s="51"/>
      <c r="T264" s="51"/>
      <c r="U264" s="51"/>
      <c r="V264" s="51"/>
      <c r="W264" s="51"/>
    </row>
    <row r="265" spans="1:23" x14ac:dyDescent="0.2">
      <c r="A265" s="67"/>
      <c r="B265" s="7" t="s">
        <v>322</v>
      </c>
      <c r="C265" s="9" t="s">
        <v>7</v>
      </c>
      <c r="D265" s="9" t="s">
        <v>7</v>
      </c>
      <c r="E265" s="9" t="s">
        <v>7</v>
      </c>
      <c r="F265" s="9" t="s">
        <v>7</v>
      </c>
      <c r="G265" s="9" t="s">
        <v>7</v>
      </c>
      <c r="H265" s="9" t="s">
        <v>7</v>
      </c>
      <c r="I265" s="9" t="s">
        <v>7</v>
      </c>
      <c r="J265" s="9" t="s">
        <v>7</v>
      </c>
      <c r="K265" s="9" t="s">
        <v>7</v>
      </c>
      <c r="L265" s="9" t="s">
        <v>7</v>
      </c>
      <c r="M265" s="9" t="s">
        <v>7</v>
      </c>
      <c r="N265" s="9" t="s">
        <v>7</v>
      </c>
      <c r="O265" s="77"/>
      <c r="P265" s="44"/>
      <c r="Q265" s="51"/>
      <c r="R265" s="51"/>
      <c r="S265" s="51"/>
      <c r="T265" s="51"/>
      <c r="U265" s="51"/>
      <c r="V265" s="51"/>
      <c r="W265" s="51"/>
    </row>
    <row r="266" spans="1:23" x14ac:dyDescent="0.2">
      <c r="A266" s="67"/>
      <c r="B266" s="7" t="s">
        <v>259</v>
      </c>
      <c r="C266" s="9" t="s">
        <v>7</v>
      </c>
      <c r="D266" s="9" t="s">
        <v>7</v>
      </c>
      <c r="E266" s="9" t="s">
        <v>7</v>
      </c>
      <c r="F266" s="9" t="s">
        <v>7</v>
      </c>
      <c r="G266" s="9" t="s">
        <v>7</v>
      </c>
      <c r="H266" s="9" t="s">
        <v>7</v>
      </c>
      <c r="I266" s="9" t="s">
        <v>7</v>
      </c>
      <c r="J266" s="9" t="s">
        <v>7</v>
      </c>
      <c r="K266" s="9" t="s">
        <v>7</v>
      </c>
      <c r="L266" s="9" t="s">
        <v>7</v>
      </c>
      <c r="M266" s="9" t="s">
        <v>7</v>
      </c>
      <c r="N266" s="9" t="s">
        <v>7</v>
      </c>
      <c r="O266" s="77"/>
      <c r="P266" s="44"/>
      <c r="Q266" s="51"/>
      <c r="R266" s="51"/>
      <c r="S266" s="51"/>
      <c r="T266" s="51"/>
      <c r="U266" s="51"/>
      <c r="V266" s="51"/>
      <c r="W266" s="51"/>
    </row>
    <row r="267" spans="1:23" x14ac:dyDescent="0.2">
      <c r="A267" s="67"/>
      <c r="B267" s="7" t="s">
        <v>260</v>
      </c>
      <c r="C267" s="9" t="s">
        <v>7</v>
      </c>
      <c r="D267" s="9" t="s">
        <v>7</v>
      </c>
      <c r="E267" s="9" t="s">
        <v>7</v>
      </c>
      <c r="F267" s="9" t="s">
        <v>7</v>
      </c>
      <c r="G267" s="9" t="s">
        <v>7</v>
      </c>
      <c r="H267" s="9" t="s">
        <v>7</v>
      </c>
      <c r="I267" s="9" t="s">
        <v>7</v>
      </c>
      <c r="J267" s="9" t="s">
        <v>7</v>
      </c>
      <c r="K267" s="9" t="s">
        <v>7</v>
      </c>
      <c r="L267" s="9" t="s">
        <v>7</v>
      </c>
      <c r="M267" s="9" t="s">
        <v>7</v>
      </c>
      <c r="N267" s="9" t="s">
        <v>7</v>
      </c>
      <c r="O267" s="77"/>
      <c r="P267" s="44"/>
      <c r="Q267" s="51"/>
      <c r="R267" s="51"/>
      <c r="S267" s="51"/>
      <c r="T267" s="51"/>
      <c r="U267" s="51"/>
      <c r="V267" s="51"/>
      <c r="W267" s="51"/>
    </row>
    <row r="268" spans="1:23" x14ac:dyDescent="0.2">
      <c r="A268" s="67"/>
      <c r="B268" s="7" t="s">
        <v>323</v>
      </c>
      <c r="C268" s="9" t="s">
        <v>7</v>
      </c>
      <c r="D268" s="9" t="s">
        <v>7</v>
      </c>
      <c r="E268" s="9" t="s">
        <v>7</v>
      </c>
      <c r="F268" s="9" t="s">
        <v>7</v>
      </c>
      <c r="G268" s="9" t="s">
        <v>7</v>
      </c>
      <c r="H268" s="9" t="s">
        <v>7</v>
      </c>
      <c r="I268" s="9" t="s">
        <v>7</v>
      </c>
      <c r="J268" s="9" t="s">
        <v>7</v>
      </c>
      <c r="K268" s="9" t="s">
        <v>7</v>
      </c>
      <c r="L268" s="9" t="s">
        <v>7</v>
      </c>
      <c r="M268" s="9" t="s">
        <v>7</v>
      </c>
      <c r="N268" s="9" t="s">
        <v>7</v>
      </c>
      <c r="O268" s="77"/>
      <c r="P268" s="44"/>
      <c r="Q268" s="44"/>
      <c r="R268" s="51"/>
      <c r="S268" s="51"/>
      <c r="T268" s="51"/>
      <c r="U268" s="51"/>
      <c r="V268" s="51"/>
      <c r="W268" s="51"/>
    </row>
    <row r="269" spans="1:23" x14ac:dyDescent="0.2">
      <c r="A269" s="67"/>
      <c r="B269" s="7" t="s">
        <v>262</v>
      </c>
      <c r="C269" s="9" t="s">
        <v>7</v>
      </c>
      <c r="D269" s="9" t="s">
        <v>7</v>
      </c>
      <c r="E269" s="9" t="s">
        <v>7</v>
      </c>
      <c r="F269" s="9" t="s">
        <v>7</v>
      </c>
      <c r="G269" s="9" t="s">
        <v>7</v>
      </c>
      <c r="H269" s="9" t="s">
        <v>7</v>
      </c>
      <c r="I269" s="9" t="s">
        <v>7</v>
      </c>
      <c r="J269" s="9" t="s">
        <v>7</v>
      </c>
      <c r="K269" s="9" t="s">
        <v>7</v>
      </c>
      <c r="L269" s="9" t="s">
        <v>7</v>
      </c>
      <c r="M269" s="9" t="s">
        <v>7</v>
      </c>
      <c r="N269" s="9" t="s">
        <v>7</v>
      </c>
      <c r="O269" s="77"/>
      <c r="P269" s="44"/>
      <c r="Q269" s="44"/>
      <c r="R269" s="44"/>
      <c r="S269" s="51"/>
      <c r="T269" s="51"/>
      <c r="U269" s="51"/>
      <c r="V269" s="51"/>
      <c r="W269" s="51"/>
    </row>
    <row r="270" spans="1:23" x14ac:dyDescent="0.2">
      <c r="A270" s="67"/>
      <c r="B270" s="7" t="s">
        <v>263</v>
      </c>
      <c r="C270" s="9" t="s">
        <v>7</v>
      </c>
      <c r="D270" s="9" t="s">
        <v>7</v>
      </c>
      <c r="E270" s="9" t="s">
        <v>7</v>
      </c>
      <c r="F270" s="9" t="s">
        <v>7</v>
      </c>
      <c r="G270" s="9" t="s">
        <v>7</v>
      </c>
      <c r="H270" s="9" t="s">
        <v>7</v>
      </c>
      <c r="I270" s="9" t="s">
        <v>7</v>
      </c>
      <c r="J270" s="9" t="s">
        <v>7</v>
      </c>
      <c r="K270" s="9" t="s">
        <v>7</v>
      </c>
      <c r="L270" s="9" t="s">
        <v>7</v>
      </c>
      <c r="M270" s="9" t="s">
        <v>7</v>
      </c>
      <c r="N270" s="9" t="s">
        <v>7</v>
      </c>
      <c r="O270" s="77"/>
      <c r="P270" s="44"/>
      <c r="Q270" s="44"/>
      <c r="R270" s="44"/>
      <c r="T270" s="51"/>
      <c r="U270" s="51"/>
      <c r="V270" s="51"/>
      <c r="W270" s="51"/>
    </row>
    <row r="271" spans="1:23" x14ac:dyDescent="0.2">
      <c r="A271" s="67"/>
      <c r="B271" s="7" t="s">
        <v>264</v>
      </c>
      <c r="C271" s="9" t="s">
        <v>7</v>
      </c>
      <c r="D271" s="9" t="s">
        <v>7</v>
      </c>
      <c r="E271" s="9" t="s">
        <v>7</v>
      </c>
      <c r="F271" s="9" t="s">
        <v>7</v>
      </c>
      <c r="G271" s="9" t="s">
        <v>7</v>
      </c>
      <c r="H271" s="9" t="s">
        <v>7</v>
      </c>
      <c r="I271" s="9" t="s">
        <v>7</v>
      </c>
      <c r="J271" s="9" t="s">
        <v>7</v>
      </c>
      <c r="K271" s="9" t="s">
        <v>7</v>
      </c>
      <c r="L271" s="9" t="s">
        <v>7</v>
      </c>
      <c r="M271" s="9" t="s">
        <v>7</v>
      </c>
      <c r="N271" s="9" t="s">
        <v>7</v>
      </c>
      <c r="O271" s="77"/>
      <c r="P271" s="44"/>
      <c r="Q271" s="44"/>
      <c r="R271" s="44"/>
      <c r="U271" s="51"/>
      <c r="V271" s="51"/>
      <c r="W271" s="51"/>
    </row>
    <row r="272" spans="1:23" x14ac:dyDescent="0.2">
      <c r="A272" s="67"/>
      <c r="B272" s="7" t="s">
        <v>265</v>
      </c>
      <c r="C272" s="9" t="s">
        <v>7</v>
      </c>
      <c r="D272" s="9" t="s">
        <v>7</v>
      </c>
      <c r="E272" s="9" t="s">
        <v>7</v>
      </c>
      <c r="F272" s="9" t="s">
        <v>7</v>
      </c>
      <c r="G272" s="9" t="s">
        <v>7</v>
      </c>
      <c r="H272" s="9" t="s">
        <v>7</v>
      </c>
      <c r="I272" s="9" t="s">
        <v>7</v>
      </c>
      <c r="J272" s="9" t="s">
        <v>7</v>
      </c>
      <c r="K272" s="9" t="s">
        <v>7</v>
      </c>
      <c r="L272" s="9" t="s">
        <v>7</v>
      </c>
      <c r="M272" s="9" t="s">
        <v>7</v>
      </c>
      <c r="N272" s="9" t="s">
        <v>7</v>
      </c>
      <c r="O272" s="77"/>
      <c r="P272" s="44"/>
      <c r="Q272" s="44"/>
      <c r="R272" s="44"/>
      <c r="V272" s="51"/>
      <c r="W272" s="51"/>
    </row>
    <row r="273" spans="1:23" x14ac:dyDescent="0.2">
      <c r="A273" s="67"/>
      <c r="B273" s="7" t="s">
        <v>266</v>
      </c>
      <c r="C273" s="9" t="s">
        <v>7</v>
      </c>
      <c r="D273" s="9" t="s">
        <v>7</v>
      </c>
      <c r="E273" s="9" t="s">
        <v>7</v>
      </c>
      <c r="F273" s="9" t="s">
        <v>7</v>
      </c>
      <c r="G273" s="9" t="s">
        <v>7</v>
      </c>
      <c r="H273" s="9" t="s">
        <v>7</v>
      </c>
      <c r="I273" s="9" t="s">
        <v>7</v>
      </c>
      <c r="J273" s="9" t="s">
        <v>7</v>
      </c>
      <c r="K273" s="9" t="s">
        <v>7</v>
      </c>
      <c r="L273" s="9" t="s">
        <v>7</v>
      </c>
      <c r="M273" s="9" t="s">
        <v>7</v>
      </c>
      <c r="N273" s="9" t="s">
        <v>7</v>
      </c>
      <c r="O273" s="77"/>
      <c r="P273" s="44"/>
      <c r="Q273" s="44"/>
      <c r="R273" s="44"/>
      <c r="V273" s="51"/>
      <c r="W273" s="51"/>
    </row>
    <row r="274" spans="1:23" x14ac:dyDescent="0.2">
      <c r="A274" s="67"/>
      <c r="B274" s="7" t="s">
        <v>267</v>
      </c>
      <c r="C274" s="9" t="s">
        <v>7</v>
      </c>
      <c r="D274" s="9" t="s">
        <v>7</v>
      </c>
      <c r="E274" s="9" t="s">
        <v>7</v>
      </c>
      <c r="F274" s="9" t="s">
        <v>7</v>
      </c>
      <c r="G274" s="9" t="s">
        <v>7</v>
      </c>
      <c r="H274" s="9" t="s">
        <v>7</v>
      </c>
      <c r="I274" s="9" t="s">
        <v>7</v>
      </c>
      <c r="J274" s="9" t="s">
        <v>7</v>
      </c>
      <c r="K274" s="9" t="s">
        <v>7</v>
      </c>
      <c r="L274" s="9" t="s">
        <v>7</v>
      </c>
      <c r="M274" s="9" t="s">
        <v>7</v>
      </c>
      <c r="N274" s="9" t="s">
        <v>7</v>
      </c>
      <c r="O274" s="77"/>
      <c r="P274" s="45"/>
      <c r="Q274" s="44"/>
      <c r="R274" s="44"/>
      <c r="W274" s="51"/>
    </row>
    <row r="275" spans="1:23" x14ac:dyDescent="0.2">
      <c r="A275" s="67"/>
      <c r="B275" s="7" t="s">
        <v>268</v>
      </c>
      <c r="C275" s="9" t="s">
        <v>7</v>
      </c>
      <c r="D275" s="9" t="s">
        <v>7</v>
      </c>
      <c r="E275" s="9" t="s">
        <v>7</v>
      </c>
      <c r="F275" s="9" t="s">
        <v>7</v>
      </c>
      <c r="G275" s="9" t="s">
        <v>7</v>
      </c>
      <c r="H275" s="9" t="s">
        <v>7</v>
      </c>
      <c r="I275" s="9" t="s">
        <v>7</v>
      </c>
      <c r="J275" s="9" t="s">
        <v>7</v>
      </c>
      <c r="K275" s="9" t="s">
        <v>7</v>
      </c>
      <c r="L275" s="9" t="s">
        <v>7</v>
      </c>
      <c r="M275" s="9" t="s">
        <v>7</v>
      </c>
      <c r="N275" s="9" t="s">
        <v>7</v>
      </c>
      <c r="O275" s="77"/>
      <c r="W275" s="51"/>
    </row>
    <row r="276" spans="1:23" ht="15.75" customHeight="1" thickBot="1" x14ac:dyDescent="0.25">
      <c r="A276" s="68"/>
      <c r="B276" s="38" t="s">
        <v>269</v>
      </c>
      <c r="C276" s="25" t="s">
        <v>7</v>
      </c>
      <c r="D276" s="25" t="s">
        <v>7</v>
      </c>
      <c r="E276" s="25" t="s">
        <v>7</v>
      </c>
      <c r="F276" s="25" t="s">
        <v>7</v>
      </c>
      <c r="G276" s="25" t="s">
        <v>7</v>
      </c>
      <c r="H276" s="25" t="s">
        <v>7</v>
      </c>
      <c r="I276" s="25" t="s">
        <v>7</v>
      </c>
      <c r="J276" s="25" t="s">
        <v>7</v>
      </c>
      <c r="K276" s="25" t="s">
        <v>7</v>
      </c>
      <c r="L276" s="25" t="s">
        <v>7</v>
      </c>
      <c r="M276" s="25" t="s">
        <v>7</v>
      </c>
      <c r="N276" s="25" t="s">
        <v>7</v>
      </c>
      <c r="O276" s="77"/>
      <c r="W276" s="51"/>
    </row>
    <row r="277" spans="1:23" x14ac:dyDescent="0.2">
      <c r="O277" s="77"/>
      <c r="W277" s="51"/>
    </row>
    <row r="278" spans="1:23" x14ac:dyDescent="0.2">
      <c r="O278" s="47"/>
    </row>
    <row r="279" spans="1:23" x14ac:dyDescent="0.2">
      <c r="O279" s="47"/>
    </row>
    <row r="280" spans="1:23" x14ac:dyDescent="0.2">
      <c r="O280" s="47"/>
    </row>
    <row r="281" spans="1:23" x14ac:dyDescent="0.2">
      <c r="O281" s="47"/>
    </row>
    <row r="282" spans="1:23" x14ac:dyDescent="0.2">
      <c r="O282" s="47"/>
    </row>
    <row r="283" spans="1:23" x14ac:dyDescent="0.2">
      <c r="O283" s="47"/>
    </row>
    <row r="284" spans="1:23" x14ac:dyDescent="0.2">
      <c r="O284" s="47"/>
    </row>
    <row r="285" spans="1:23" x14ac:dyDescent="0.2">
      <c r="O285" s="47"/>
    </row>
    <row r="286" spans="1:23" x14ac:dyDescent="0.2">
      <c r="O286" s="47"/>
    </row>
    <row r="287" spans="1:23" x14ac:dyDescent="0.2">
      <c r="O287" s="47"/>
    </row>
  </sheetData>
  <mergeCells count="162">
    <mergeCell ref="A2:W2"/>
    <mergeCell ref="O49:O55"/>
    <mergeCell ref="P260:P263"/>
    <mergeCell ref="A65:A78"/>
    <mergeCell ref="T217:T222"/>
    <mergeCell ref="O218:O229"/>
    <mergeCell ref="R49:R64"/>
    <mergeCell ref="T17:T26"/>
    <mergeCell ref="O122:O123"/>
    <mergeCell ref="S144:S156"/>
    <mergeCell ref="U175:U188"/>
    <mergeCell ref="O193:O197"/>
    <mergeCell ref="O65:O78"/>
    <mergeCell ref="U217:U225"/>
    <mergeCell ref="V260:V273"/>
    <mergeCell ref="R217:R221"/>
    <mergeCell ref="S260:S269"/>
    <mergeCell ref="O15:O16"/>
    <mergeCell ref="R122:R129"/>
    <mergeCell ref="A143:W143"/>
    <mergeCell ref="A174:W174"/>
    <mergeCell ref="A231:W231"/>
    <mergeCell ref="Q3:Q16"/>
    <mergeCell ref="O198:O216"/>
    <mergeCell ref="S3:S16"/>
    <mergeCell ref="T107:T118"/>
    <mergeCell ref="R38:R40"/>
    <mergeCell ref="Q260:Q267"/>
    <mergeCell ref="A49:A64"/>
    <mergeCell ref="V193:V212"/>
    <mergeCell ref="Q232:Q242"/>
    <mergeCell ref="A38:A46"/>
    <mergeCell ref="P175:P178"/>
    <mergeCell ref="U38:U46"/>
    <mergeCell ref="V232:V250"/>
    <mergeCell ref="V28:V37"/>
    <mergeCell ref="O175:O177"/>
    <mergeCell ref="A28:A37"/>
    <mergeCell ref="S107:S117"/>
    <mergeCell ref="A260:A276"/>
    <mergeCell ref="V65:V78"/>
    <mergeCell ref="Q49:Q64"/>
    <mergeCell ref="R107:R116"/>
    <mergeCell ref="S49:S64"/>
    <mergeCell ref="A144:A150"/>
    <mergeCell ref="R17:R25"/>
    <mergeCell ref="O262:O277"/>
    <mergeCell ref="A3:A16"/>
    <mergeCell ref="Q144:Q151"/>
    <mergeCell ref="S38:S42"/>
    <mergeCell ref="U3:U16"/>
    <mergeCell ref="W3:W16"/>
    <mergeCell ref="O111:O121"/>
    <mergeCell ref="T122:T134"/>
    <mergeCell ref="T232:T247"/>
    <mergeCell ref="A79:A104"/>
    <mergeCell ref="U144:U162"/>
    <mergeCell ref="S232:S246"/>
    <mergeCell ref="U79:U90"/>
    <mergeCell ref="O107:O110"/>
    <mergeCell ref="O124:O141"/>
    <mergeCell ref="P122:P124"/>
    <mergeCell ref="S122:S132"/>
    <mergeCell ref="O17:O19"/>
    <mergeCell ref="A232:A259"/>
    <mergeCell ref="O56:O64"/>
    <mergeCell ref="O79:O105"/>
    <mergeCell ref="P65:P68"/>
    <mergeCell ref="S175:S185"/>
    <mergeCell ref="O28:O30"/>
    <mergeCell ref="U17:U26"/>
    <mergeCell ref="W260:W277"/>
    <mergeCell ref="R65:R78"/>
    <mergeCell ref="P193:P199"/>
    <mergeCell ref="A106:W106"/>
    <mergeCell ref="T65:T78"/>
    <mergeCell ref="T193:T208"/>
    <mergeCell ref="R232:R245"/>
    <mergeCell ref="R260:R268"/>
    <mergeCell ref="T38:T46"/>
    <mergeCell ref="U65:U78"/>
    <mergeCell ref="P232:P238"/>
    <mergeCell ref="W65:W78"/>
    <mergeCell ref="P144:P148"/>
    <mergeCell ref="O235:O259"/>
    <mergeCell ref="O178:O192"/>
    <mergeCell ref="Q122:Q126"/>
    <mergeCell ref="R144:R153"/>
    <mergeCell ref="U122:U135"/>
    <mergeCell ref="T144:T157"/>
    <mergeCell ref="A107:A121"/>
    <mergeCell ref="O260:O261"/>
    <mergeCell ref="S217:S222"/>
    <mergeCell ref="A193:A216"/>
    <mergeCell ref="W122:W141"/>
    <mergeCell ref="Q175:Q182"/>
    <mergeCell ref="T49:T64"/>
    <mergeCell ref="P107:P112"/>
    <mergeCell ref="O20:O27"/>
    <mergeCell ref="S17:S26"/>
    <mergeCell ref="W175:W192"/>
    <mergeCell ref="T175:T188"/>
    <mergeCell ref="R193:R206"/>
    <mergeCell ref="V175:V188"/>
    <mergeCell ref="Q107:Q115"/>
    <mergeCell ref="Q193:Q202"/>
    <mergeCell ref="U49:U64"/>
    <mergeCell ref="W49:W64"/>
    <mergeCell ref="W107:W121"/>
    <mergeCell ref="U28:U37"/>
    <mergeCell ref="W17:W27"/>
    <mergeCell ref="T28:T36"/>
    <mergeCell ref="P28:P31"/>
    <mergeCell ref="W79:W104"/>
    <mergeCell ref="O3:O14"/>
    <mergeCell ref="S28:S36"/>
    <mergeCell ref="Q38:Q43"/>
    <mergeCell ref="W38:W46"/>
    <mergeCell ref="Q217:Q221"/>
    <mergeCell ref="P49:P60"/>
    <mergeCell ref="T260:T270"/>
    <mergeCell ref="Q65:Q70"/>
    <mergeCell ref="V122:V137"/>
    <mergeCell ref="V17:V27"/>
    <mergeCell ref="R28:R36"/>
    <mergeCell ref="V107:V120"/>
    <mergeCell ref="W193:W216"/>
    <mergeCell ref="U260:U271"/>
    <mergeCell ref="S193:S207"/>
    <mergeCell ref="O232:O234"/>
    <mergeCell ref="P38:P41"/>
    <mergeCell ref="P3:P16"/>
    <mergeCell ref="R3:R16"/>
    <mergeCell ref="U232:U248"/>
    <mergeCell ref="O144:O146"/>
    <mergeCell ref="T3:T16"/>
    <mergeCell ref="W232:W259"/>
    <mergeCell ref="V3:V16"/>
    <mergeCell ref="V49:V64"/>
    <mergeCell ref="W217:W229"/>
    <mergeCell ref="Q28:Q33"/>
    <mergeCell ref="Q17:Q24"/>
    <mergeCell ref="W144:W172"/>
    <mergeCell ref="U193:U211"/>
    <mergeCell ref="S65:S78"/>
    <mergeCell ref="V38:V46"/>
    <mergeCell ref="A48:W48"/>
    <mergeCell ref="O31:O46"/>
    <mergeCell ref="V217:V226"/>
    <mergeCell ref="U107:U119"/>
    <mergeCell ref="W28:W37"/>
    <mergeCell ref="A17:A27"/>
    <mergeCell ref="A175:A192"/>
    <mergeCell ref="A217:A229"/>
    <mergeCell ref="V144:V164"/>
    <mergeCell ref="R175:R183"/>
    <mergeCell ref="O147:O172"/>
    <mergeCell ref="V79:V99"/>
    <mergeCell ref="P217:P220"/>
    <mergeCell ref="A122:A141"/>
    <mergeCell ref="P17:P20"/>
    <mergeCell ref="A151:A172"/>
  </mergeCells>
  <conditionalFormatting sqref="C3:N142 C144:N173 C175:N230 C232:N276">
    <cfRule type="expression" dxfId="12" priority="2">
      <formula>C3="Consolidado"</formula>
    </cfRule>
    <cfRule type="expression" dxfId="11" priority="3">
      <formula>C3="En proceso"</formula>
    </cfRule>
    <cfRule type="expression" dxfId="10" priority="4">
      <formula>C3="Proyección"</formula>
    </cfRule>
    <cfRule type="expression" dxfId="9" priority="5">
      <formula>C3="N/A"</formula>
    </cfRule>
  </conditionalFormatting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0"/>
  <sheetViews>
    <sheetView showGridLines="0" zoomScale="90" workbookViewId="0">
      <pane ySplit="26" topLeftCell="A27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8" customWidth="1"/>
    <col min="2" max="2" width="54" customWidth="1"/>
    <col min="3" max="3" width="18" customWidth="1"/>
    <col min="4" max="4" width="28" customWidth="1"/>
    <col min="5" max="7" width="14" customWidth="1"/>
    <col min="8" max="8" width="13" customWidth="1"/>
  </cols>
  <sheetData>
    <row r="1" spans="1:8" ht="22" customHeight="1" x14ac:dyDescent="0.3">
      <c r="A1" s="52" t="s">
        <v>0</v>
      </c>
      <c r="B1" s="51"/>
      <c r="C1" s="51"/>
      <c r="D1" s="51"/>
      <c r="E1" s="51"/>
      <c r="F1" s="51"/>
      <c r="G1" s="51"/>
      <c r="H1" s="51"/>
    </row>
    <row r="3" spans="1:8" x14ac:dyDescent="0.2">
      <c r="A3" s="14" t="s">
        <v>1</v>
      </c>
      <c r="B3" t="s">
        <v>2</v>
      </c>
    </row>
    <row r="5" spans="1:8" x14ac:dyDescent="0.2">
      <c r="A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</row>
    <row r="6" spans="1:8" x14ac:dyDescent="0.2">
      <c r="A6" s="14" t="s">
        <v>9</v>
      </c>
      <c r="B6">
        <f>INDEX(CONSOLIDADO!$B$4:$B$5,MATCH($B$3,CONSOLIDADO!$A$4:$A$5,0))</f>
        <v>264</v>
      </c>
      <c r="D6" t="s">
        <v>10</v>
      </c>
      <c r="E6">
        <f>--(INDEX(NORMATIVOS!$C$3:$W$3,1,MATCH($B$3,NORMATIVOS!$C$1:$W$1,0))="Consolidado")+--(INDEX(NORMATIVOS!$C$4:$W$4,1,MATCH($B$3,NORMATIVOS!$C$1:$W$1,0))="Consolidado")+--(INDEX(NORMATIVOS!$C$5:$W$5,1,MATCH($B$3,NORMATIVOS!$C$1:$W$1,0))="Consolidado")+--(INDEX(NORMATIVOS!$C$6:$W$6,1,MATCH($B$3,NORMATIVOS!$C$1:$W$1,0))="Consolidado")+--(INDEX(NORMATIVOS!$C$7:$W$7,1,MATCH($B$3,NORMATIVOS!$C$1:$W$1,0))="Consolidado")+--(INDEX(NORMATIVOS!$C$8:$W$8,1,MATCH($B$3,NORMATIVOS!$C$1:$W$1,0))="Consolidado")+--(INDEX(NORMATIVOS!$C$9:$W$9,1,MATCH($B$3,NORMATIVOS!$C$1:$W$1,0))="Consolidado")+--(INDEX(NORMATIVOS!$C$10:$W$10,1,MATCH($B$3,NORMATIVOS!$C$1:$W$1,0))="Consolidado")+--(INDEX(NORMATIVOS!$C$11:$W$11,1,MATCH($B$3,NORMATIVOS!$C$1:$W$1,0))="Consolidado")+--(INDEX(NORMATIVOS!$C$12:$W$12,1,MATCH($B$3,NORMATIVOS!$C$1:$W$1,0))="Consolidado")+--(INDEX(NORMATIVOS!$C$13:$W$13,1,MATCH($B$3,NORMATIVOS!$C$1:$W$1,0))="Consolidado")+--(INDEX(NORMATIVOS!$C$14:$W$14,1,MATCH($B$3,NORMATIVOS!$C$1:$W$1,0))="Consolidado")+--(INDEX(NORMATIVOS!$C$15:$W$15,1,MATCH($B$3,NORMATIVOS!$C$1:$W$1,0))="Consolidado")+--(INDEX(NORMATIVOS!$C$16:$W$16,1,MATCH($B$3,NORMATIVOS!$C$1:$W$1,0))="Consolidado")</f>
        <v>0</v>
      </c>
      <c r="F6">
        <f>--(INDEX(NORMATIVOS!$C$3:$W$3,1,MATCH($B$3,NORMATIVOS!$C$1:$W$1,0))="En proceso")+--(INDEX(NORMATIVOS!$C$4:$W$4,1,MATCH($B$3,NORMATIVOS!$C$1:$W$1,0))="En proceso")+--(INDEX(NORMATIVOS!$C$5:$W$5,1,MATCH($B$3,NORMATIVOS!$C$1:$W$1,0))="En proceso")+--(INDEX(NORMATIVOS!$C$6:$W$6,1,MATCH($B$3,NORMATIVOS!$C$1:$W$1,0))="En proceso")+--(INDEX(NORMATIVOS!$C$7:$W$7,1,MATCH($B$3,NORMATIVOS!$C$1:$W$1,0))="En proceso")+--(INDEX(NORMATIVOS!$C$8:$W$8,1,MATCH($B$3,NORMATIVOS!$C$1:$W$1,0))="En proceso")+--(INDEX(NORMATIVOS!$C$9:$W$9,1,MATCH($B$3,NORMATIVOS!$C$1:$W$1,0))="En proceso")+--(INDEX(NORMATIVOS!$C$10:$W$10,1,MATCH($B$3,NORMATIVOS!$C$1:$W$1,0))="En proceso")+--(INDEX(NORMATIVOS!$C$11:$W$11,1,MATCH($B$3,NORMATIVOS!$C$1:$W$1,0))="En proceso")+--(INDEX(NORMATIVOS!$C$12:$W$12,1,MATCH($B$3,NORMATIVOS!$C$1:$W$1,0))="En proceso")+--(INDEX(NORMATIVOS!$C$13:$W$13,1,MATCH($B$3,NORMATIVOS!$C$1:$W$1,0))="En proceso")+--(INDEX(NORMATIVOS!$C$14:$W$14,1,MATCH($B$3,NORMATIVOS!$C$1:$W$1,0))="En proceso")+--(INDEX(NORMATIVOS!$C$15:$W$15,1,MATCH($B$3,NORMATIVOS!$C$1:$W$1,0))="En proceso")+--(INDEX(NORMATIVOS!$C$16:$W$16,1,MATCH($B$3,NORMATIVOS!$C$1:$W$1,0))="En proceso")</f>
        <v>0</v>
      </c>
      <c r="G6">
        <f>--(INDEX(NORMATIVOS!$C$3:$W$3,1,MATCH($B$3,NORMATIVOS!$C$1:$W$1,0))="Proyección")+--(INDEX(NORMATIVOS!$C$4:$W$4,1,MATCH($B$3,NORMATIVOS!$C$1:$W$1,0))="Proyección")+--(INDEX(NORMATIVOS!$C$5:$W$5,1,MATCH($B$3,NORMATIVOS!$C$1:$W$1,0))="Proyección")+--(INDEX(NORMATIVOS!$C$6:$W$6,1,MATCH($B$3,NORMATIVOS!$C$1:$W$1,0))="Proyección")+--(INDEX(NORMATIVOS!$C$7:$W$7,1,MATCH($B$3,NORMATIVOS!$C$1:$W$1,0))="Proyección")+--(INDEX(NORMATIVOS!$C$8:$W$8,1,MATCH($B$3,NORMATIVOS!$C$1:$W$1,0))="Proyección")+--(INDEX(NORMATIVOS!$C$9:$W$9,1,MATCH($B$3,NORMATIVOS!$C$1:$W$1,0))="Proyección")+--(INDEX(NORMATIVOS!$C$10:$W$10,1,MATCH($B$3,NORMATIVOS!$C$1:$W$1,0))="Proyección")+--(INDEX(NORMATIVOS!$C$11:$W$11,1,MATCH($B$3,NORMATIVOS!$C$1:$W$1,0))="Proyección")+--(INDEX(NORMATIVOS!$C$12:$W$12,1,MATCH($B$3,NORMATIVOS!$C$1:$W$1,0))="Proyección")+--(INDEX(NORMATIVOS!$C$13:$W$13,1,MATCH($B$3,NORMATIVOS!$C$1:$W$1,0))="Proyección")+--(INDEX(NORMATIVOS!$C$14:$W$14,1,MATCH($B$3,NORMATIVOS!$C$1:$W$1,0))="Proyección")+--(INDEX(NORMATIVOS!$C$15:$W$15,1,MATCH($B$3,NORMATIVOS!$C$1:$W$1,0))="Proyección")+--(INDEX(NORMATIVOS!$C$16:$W$16,1,MATCH($B$3,NORMATIVOS!$C$1:$W$1,0))="Proyección")</f>
        <v>14</v>
      </c>
      <c r="H6" s="15">
        <f t="shared" ref="H6:H21" si="0">IFERROR(E6/(E6+F6+G6),0)</f>
        <v>0</v>
      </c>
    </row>
    <row r="7" spans="1:8" x14ac:dyDescent="0.2">
      <c r="A7" s="14" t="s">
        <v>11</v>
      </c>
      <c r="B7">
        <f>INDEX(CONSOLIDADO!$C$4:$C$5,MATCH($B$3,CONSOLIDADO!$A$4:$A$5,0))</f>
        <v>0</v>
      </c>
      <c r="D7" t="s">
        <v>12</v>
      </c>
      <c r="E7">
        <f>--(INDEX(NORMATIVOS!$C$17:$W$17,1,MATCH($B$3,NORMATIVOS!$C$1:$W$1,0))="Consolidado")+--(INDEX(NORMATIVOS!$C$18:$W$18,1,MATCH($B$3,NORMATIVOS!$C$1:$W$1,0))="Consolidado")+--(INDEX(NORMATIVOS!$C$19:$W$19,1,MATCH($B$3,NORMATIVOS!$C$1:$W$1,0))="Consolidado")+--(INDEX(NORMATIVOS!$C$20:$W$20,1,MATCH($B$3,NORMATIVOS!$C$1:$W$1,0))="Consolidado")+--(INDEX(NORMATIVOS!$C$21:$W$21,1,MATCH($B$3,NORMATIVOS!$C$1:$W$1,0))="Consolidado")+--(INDEX(NORMATIVOS!$C$22:$W$22,1,MATCH($B$3,NORMATIVOS!$C$1:$W$1,0))="Consolidado")+--(INDEX(NORMATIVOS!$C$23:$W$23,1,MATCH($B$3,NORMATIVOS!$C$1:$W$1,0))="Consolidado")+--(INDEX(NORMATIVOS!$C$24:$W$24,1,MATCH($B$3,NORMATIVOS!$C$1:$W$1,0))="Consolidado")+--(INDEX(NORMATIVOS!$C$25:$W$25,1,MATCH($B$3,NORMATIVOS!$C$1:$W$1,0))="Consolidado")+--(INDEX(NORMATIVOS!$C$26:$W$26,1,MATCH($B$3,NORMATIVOS!$C$1:$W$1,0))="Consolidado")+--(INDEX(NORMATIVOS!$C$27:$W$27,1,MATCH($B$3,NORMATIVOS!$C$1:$W$1,0))="Consolidado")</f>
        <v>0</v>
      </c>
      <c r="F7">
        <f>--(INDEX(NORMATIVOS!$C$17:$W$17,1,MATCH($B$3,NORMATIVOS!$C$1:$W$1,0))="En proceso")+--(INDEX(NORMATIVOS!$C$18:$W$18,1,MATCH($B$3,NORMATIVOS!$C$1:$W$1,0))="En proceso")+--(INDEX(NORMATIVOS!$C$19:$W$19,1,MATCH($B$3,NORMATIVOS!$C$1:$W$1,0))="En proceso")+--(INDEX(NORMATIVOS!$C$20:$W$20,1,MATCH($B$3,NORMATIVOS!$C$1:$W$1,0))="En proceso")+--(INDEX(NORMATIVOS!$C$21:$W$21,1,MATCH($B$3,NORMATIVOS!$C$1:$W$1,0))="En proceso")+--(INDEX(NORMATIVOS!$C$22:$W$22,1,MATCH($B$3,NORMATIVOS!$C$1:$W$1,0))="En proceso")+--(INDEX(NORMATIVOS!$C$23:$W$23,1,MATCH($B$3,NORMATIVOS!$C$1:$W$1,0))="En proceso")+--(INDEX(NORMATIVOS!$C$24:$W$24,1,MATCH($B$3,NORMATIVOS!$C$1:$W$1,0))="En proceso")+--(INDEX(NORMATIVOS!$C$25:$W$25,1,MATCH($B$3,NORMATIVOS!$C$1:$W$1,0))="En proceso")+--(INDEX(NORMATIVOS!$C$26:$W$26,1,MATCH($B$3,NORMATIVOS!$C$1:$W$1,0))="En proceso")+--(INDEX(NORMATIVOS!$C$27:$W$27,1,MATCH($B$3,NORMATIVOS!$C$1:$W$1,0))="En proceso")</f>
        <v>0</v>
      </c>
      <c r="G7">
        <f>--(INDEX(NORMATIVOS!$C$17:$W$17,1,MATCH($B$3,NORMATIVOS!$C$1:$W$1,0))="Proyección")+--(INDEX(NORMATIVOS!$C$18:$W$18,1,MATCH($B$3,NORMATIVOS!$C$1:$W$1,0))="Proyección")+--(INDEX(NORMATIVOS!$C$19:$W$19,1,MATCH($B$3,NORMATIVOS!$C$1:$W$1,0))="Proyección")+--(INDEX(NORMATIVOS!$C$20:$W$20,1,MATCH($B$3,NORMATIVOS!$C$1:$W$1,0))="Proyección")+--(INDEX(NORMATIVOS!$C$21:$W$21,1,MATCH($B$3,NORMATIVOS!$C$1:$W$1,0))="Proyección")+--(INDEX(NORMATIVOS!$C$22:$W$22,1,MATCH($B$3,NORMATIVOS!$C$1:$W$1,0))="Proyección")+--(INDEX(NORMATIVOS!$C$23:$W$23,1,MATCH($B$3,NORMATIVOS!$C$1:$W$1,0))="Proyección")+--(INDEX(NORMATIVOS!$C$24:$W$24,1,MATCH($B$3,NORMATIVOS!$C$1:$W$1,0))="Proyección")+--(INDEX(NORMATIVOS!$C$25:$W$25,1,MATCH($B$3,NORMATIVOS!$C$1:$W$1,0))="Proyección")+--(INDEX(NORMATIVOS!$C$26:$W$26,1,MATCH($B$3,NORMATIVOS!$C$1:$W$1,0))="Proyección")+--(INDEX(NORMATIVOS!$C$27:$W$27,1,MATCH($B$3,NORMATIVOS!$C$1:$W$1,0))="Proyección")</f>
        <v>11</v>
      </c>
      <c r="H7" s="15">
        <f t="shared" si="0"/>
        <v>0</v>
      </c>
    </row>
    <row r="8" spans="1:8" x14ac:dyDescent="0.2">
      <c r="A8" s="14" t="s">
        <v>6</v>
      </c>
      <c r="B8">
        <f>INDEX(CONSOLIDADO!$D$4:$D$5,MATCH($B$3,CONSOLIDADO!$A$4:$A$5,0))</f>
        <v>0</v>
      </c>
      <c r="D8" t="s">
        <v>13</v>
      </c>
      <c r="E8">
        <f>--(INDEX(NORMATIVOS!$C$28:$W$28,1,MATCH($B$3,NORMATIVOS!$C$1:$W$1,0))="Consolidado")+--(INDEX(NORMATIVOS!$C$29:$W$29,1,MATCH($B$3,NORMATIVOS!$C$1:$W$1,0))="Consolidado")+--(INDEX(NORMATIVOS!$C$30:$W$30,1,MATCH($B$3,NORMATIVOS!$C$1:$W$1,0))="Consolidado")+--(INDEX(NORMATIVOS!$C$31:$W$31,1,MATCH($B$3,NORMATIVOS!$C$1:$W$1,0))="Consolidado")+--(INDEX(NORMATIVOS!$C$32:$W$32,1,MATCH($B$3,NORMATIVOS!$C$1:$W$1,0))="Consolidado")+--(INDEX(NORMATIVOS!$C$33:$W$33,1,MATCH($B$3,NORMATIVOS!$C$1:$W$1,0))="Consolidado")+--(INDEX(NORMATIVOS!$C$34:$W$34,1,MATCH($B$3,NORMATIVOS!$C$1:$W$1,0))="Consolidado")+--(INDEX(NORMATIVOS!$C$35:$W$35,1,MATCH($B$3,NORMATIVOS!$C$1:$W$1,0))="Consolidado")+--(INDEX(NORMATIVOS!$C$36:$W$36,1,MATCH($B$3,NORMATIVOS!$C$1:$W$1,0))="Consolidado")+--(INDEX(NORMATIVOS!$C$37:$W$37,1,MATCH($B$3,NORMATIVOS!$C$1:$W$1,0))="Consolidado")</f>
        <v>0</v>
      </c>
      <c r="F8">
        <f>--(INDEX(NORMATIVOS!$C$28:$W$28,1,MATCH($B$3,NORMATIVOS!$C$1:$W$1,0))="En proceso")+--(INDEX(NORMATIVOS!$C$29:$W$29,1,MATCH($B$3,NORMATIVOS!$C$1:$W$1,0))="En proceso")+--(INDEX(NORMATIVOS!$C$30:$W$30,1,MATCH($B$3,NORMATIVOS!$C$1:$W$1,0))="En proceso")+--(INDEX(NORMATIVOS!$C$31:$W$31,1,MATCH($B$3,NORMATIVOS!$C$1:$W$1,0))="En proceso")+--(INDEX(NORMATIVOS!$C$32:$W$32,1,MATCH($B$3,NORMATIVOS!$C$1:$W$1,0))="En proceso")+--(INDEX(NORMATIVOS!$C$33:$W$33,1,MATCH($B$3,NORMATIVOS!$C$1:$W$1,0))="En proceso")+--(INDEX(NORMATIVOS!$C$34:$W$34,1,MATCH($B$3,NORMATIVOS!$C$1:$W$1,0))="En proceso")+--(INDEX(NORMATIVOS!$C$35:$W$35,1,MATCH($B$3,NORMATIVOS!$C$1:$W$1,0))="En proceso")+--(INDEX(NORMATIVOS!$C$36:$W$36,1,MATCH($B$3,NORMATIVOS!$C$1:$W$1,0))="En proceso")+--(INDEX(NORMATIVOS!$C$37:$W$37,1,MATCH($B$3,NORMATIVOS!$C$1:$W$1,0))="En proceso")</f>
        <v>0</v>
      </c>
      <c r="G8">
        <f>--(INDEX(NORMATIVOS!$C$28:$W$28,1,MATCH($B$3,NORMATIVOS!$C$1:$W$1,0))="Proyección")+--(INDEX(NORMATIVOS!$C$29:$W$29,1,MATCH($B$3,NORMATIVOS!$C$1:$W$1,0))="Proyección")+--(INDEX(NORMATIVOS!$C$30:$W$30,1,MATCH($B$3,NORMATIVOS!$C$1:$W$1,0))="Proyección")+--(INDEX(NORMATIVOS!$C$31:$W$31,1,MATCH($B$3,NORMATIVOS!$C$1:$W$1,0))="Proyección")+--(INDEX(NORMATIVOS!$C$32:$W$32,1,MATCH($B$3,NORMATIVOS!$C$1:$W$1,0))="Proyección")+--(INDEX(NORMATIVOS!$C$33:$W$33,1,MATCH($B$3,NORMATIVOS!$C$1:$W$1,0))="Proyección")+--(INDEX(NORMATIVOS!$C$34:$W$34,1,MATCH($B$3,NORMATIVOS!$C$1:$W$1,0))="Proyección")+--(INDEX(NORMATIVOS!$C$35:$W$35,1,MATCH($B$3,NORMATIVOS!$C$1:$W$1,0))="Proyección")+--(INDEX(NORMATIVOS!$C$36:$W$36,1,MATCH($B$3,NORMATIVOS!$C$1:$W$1,0))="Proyección")+--(INDEX(NORMATIVOS!$C$37:$W$37,1,MATCH($B$3,NORMATIVOS!$C$1:$W$1,0))="Proyección")</f>
        <v>10</v>
      </c>
      <c r="H8" s="15">
        <f t="shared" si="0"/>
        <v>0</v>
      </c>
    </row>
    <row r="9" spans="1:8" x14ac:dyDescent="0.2">
      <c r="A9" s="14" t="s">
        <v>7</v>
      </c>
      <c r="B9">
        <f>INDEX(CONSOLIDADO!$E$4:$E$5,MATCH($B$3,CONSOLIDADO!$A$4:$A$5,0))</f>
        <v>264</v>
      </c>
      <c r="D9" t="s">
        <v>14</v>
      </c>
      <c r="E9">
        <f>--(INDEX(NORMATIVOS!$C$38:$W$38,1,MATCH($B$3,NORMATIVOS!$C$1:$W$1,0))="Consolidado")+--(INDEX(NORMATIVOS!$C$39:$W$39,1,MATCH($B$3,NORMATIVOS!$C$1:$W$1,0))="Consolidado")+--(INDEX(NORMATIVOS!$C$40:$W$40,1,MATCH($B$3,NORMATIVOS!$C$1:$W$1,0))="Consolidado")+--(INDEX(NORMATIVOS!$C$41:$W$41,1,MATCH($B$3,NORMATIVOS!$C$1:$W$1,0))="Consolidado")+--(INDEX(NORMATIVOS!$C$42:$W$42,1,MATCH($B$3,NORMATIVOS!$C$1:$W$1,0))="Consolidado")+--(INDEX(NORMATIVOS!$C$43:$W$43,1,MATCH($B$3,NORMATIVOS!$C$1:$W$1,0))="Consolidado")+--(INDEX(NORMATIVOS!$C$44:$W$44,1,MATCH($B$3,NORMATIVOS!$C$1:$W$1,0))="Consolidado")+--(INDEX(NORMATIVOS!$C$45:$W$45,1,MATCH($B$3,NORMATIVOS!$C$1:$W$1,0))="Consolidado")+--(INDEX(NORMATIVOS!$C$46:$W$46,1,MATCH($B$3,NORMATIVOS!$C$1:$W$1,0))="Consolidado")</f>
        <v>0</v>
      </c>
      <c r="F9">
        <f>--(INDEX(NORMATIVOS!$C$38:$W$38,1,MATCH($B$3,NORMATIVOS!$C$1:$W$1,0))="En proceso")+--(INDEX(NORMATIVOS!$C$39:$W$39,1,MATCH($B$3,NORMATIVOS!$C$1:$W$1,0))="En proceso")+--(INDEX(NORMATIVOS!$C$40:$W$40,1,MATCH($B$3,NORMATIVOS!$C$1:$W$1,0))="En proceso")+--(INDEX(NORMATIVOS!$C$41:$W$41,1,MATCH($B$3,NORMATIVOS!$C$1:$W$1,0))="En proceso")+--(INDEX(NORMATIVOS!$C$42:$W$42,1,MATCH($B$3,NORMATIVOS!$C$1:$W$1,0))="En proceso")+--(INDEX(NORMATIVOS!$C$43:$W$43,1,MATCH($B$3,NORMATIVOS!$C$1:$W$1,0))="En proceso")+--(INDEX(NORMATIVOS!$C$44:$W$44,1,MATCH($B$3,NORMATIVOS!$C$1:$W$1,0))="En proceso")+--(INDEX(NORMATIVOS!$C$45:$W$45,1,MATCH($B$3,NORMATIVOS!$C$1:$W$1,0))="En proceso")+--(INDEX(NORMATIVOS!$C$46:$W$46,1,MATCH($B$3,NORMATIVOS!$C$1:$W$1,0))="En proceso")</f>
        <v>0</v>
      </c>
      <c r="G9">
        <f>--(INDEX(NORMATIVOS!$C$38:$W$38,1,MATCH($B$3,NORMATIVOS!$C$1:$W$1,0))="Proyección")+--(INDEX(NORMATIVOS!$C$39:$W$39,1,MATCH($B$3,NORMATIVOS!$C$1:$W$1,0))="Proyección")+--(INDEX(NORMATIVOS!$C$40:$W$40,1,MATCH($B$3,NORMATIVOS!$C$1:$W$1,0))="Proyección")+--(INDEX(NORMATIVOS!$C$41:$W$41,1,MATCH($B$3,NORMATIVOS!$C$1:$W$1,0))="Proyección")+--(INDEX(NORMATIVOS!$C$42:$W$42,1,MATCH($B$3,NORMATIVOS!$C$1:$W$1,0))="Proyección")+--(INDEX(NORMATIVOS!$C$43:$W$43,1,MATCH($B$3,NORMATIVOS!$C$1:$W$1,0))="Proyección")+--(INDEX(NORMATIVOS!$C$44:$W$44,1,MATCH($B$3,NORMATIVOS!$C$1:$W$1,0))="Proyección")+--(INDEX(NORMATIVOS!$C$45:$W$45,1,MATCH($B$3,NORMATIVOS!$C$1:$W$1,0))="Proyección")+--(INDEX(NORMATIVOS!$C$46:$W$46,1,MATCH($B$3,NORMATIVOS!$C$1:$W$1,0))="Proyección")</f>
        <v>9</v>
      </c>
      <c r="H9" s="15">
        <f t="shared" si="0"/>
        <v>0</v>
      </c>
    </row>
    <row r="10" spans="1:8" x14ac:dyDescent="0.2">
      <c r="A10" s="14" t="s">
        <v>15</v>
      </c>
      <c r="B10">
        <f>INDEX(CONSOLIDADO!$F$4:$F$5,MATCH($B$3,CONSOLIDADO!$A$4:$A$5,0))</f>
        <v>0</v>
      </c>
      <c r="D10" t="s">
        <v>16</v>
      </c>
      <c r="E10">
        <f>--(INDEX(NORMATIVOS!$C$49:$W$49,1,MATCH($B$3,NORMATIVOS!$C$1:$W$1,0))="Consolidado")+--(INDEX(NORMATIVOS!$C$50:$W$50,1,MATCH($B$3,NORMATIVOS!$C$1:$W$1,0))="Consolidado")+--(INDEX(NORMATIVOS!$C$51:$W$51,1,MATCH($B$3,NORMATIVOS!$C$1:$W$1,0))="Consolidado")+--(INDEX(NORMATIVOS!$C$52:$W$52,1,MATCH($B$3,NORMATIVOS!$C$1:$W$1,0))="Consolidado")+--(INDEX(NORMATIVOS!$C$53:$W$53,1,MATCH($B$3,NORMATIVOS!$C$1:$W$1,0))="Consolidado")+--(INDEX(NORMATIVOS!$C$54:$W$54,1,MATCH($B$3,NORMATIVOS!$C$1:$W$1,0))="Consolidado")+--(INDEX(NORMATIVOS!$C$55:$W$55,1,MATCH($B$3,NORMATIVOS!$C$1:$W$1,0))="Consolidado")+--(INDEX(NORMATIVOS!$C$56:$W$56,1,MATCH($B$3,NORMATIVOS!$C$1:$W$1,0))="Consolidado")+--(INDEX(NORMATIVOS!$C$57:$W$57,1,MATCH($B$3,NORMATIVOS!$C$1:$W$1,0))="Consolidado")+--(INDEX(NORMATIVOS!$C$58:$W$58,1,MATCH($B$3,NORMATIVOS!$C$1:$W$1,0))="Consolidado")+--(INDEX(NORMATIVOS!$C$59:$W$59,1,MATCH($B$3,NORMATIVOS!$C$1:$W$1,0))="Consolidado")+--(INDEX(NORMATIVOS!$C$60:$W$60,1,MATCH($B$3,NORMATIVOS!$C$1:$W$1,0))="Consolidado")+--(INDEX(NORMATIVOS!$C$61:$W$61,1,MATCH($B$3,NORMATIVOS!$C$1:$W$1,0))="Consolidado")+--(INDEX(NORMATIVOS!$C$62:$W$62,1,MATCH($B$3,NORMATIVOS!$C$1:$W$1,0))="Consolidado")+--(INDEX(NORMATIVOS!$C$63:$W$63,1,MATCH($B$3,NORMATIVOS!$C$1:$W$1,0))="Consolidado")+--(INDEX(NORMATIVOS!$C$64:$W$64,1,MATCH($B$3,NORMATIVOS!$C$1:$W$1,0))="Consolidado")</f>
        <v>0</v>
      </c>
      <c r="F10">
        <f>--(INDEX(NORMATIVOS!$C$49:$W$49,1,MATCH($B$3,NORMATIVOS!$C$1:$W$1,0))="En proceso")+--(INDEX(NORMATIVOS!$C$50:$W$50,1,MATCH($B$3,NORMATIVOS!$C$1:$W$1,0))="En proceso")+--(INDEX(NORMATIVOS!$C$51:$W$51,1,MATCH($B$3,NORMATIVOS!$C$1:$W$1,0))="En proceso")+--(INDEX(NORMATIVOS!$C$52:$W$52,1,MATCH($B$3,NORMATIVOS!$C$1:$W$1,0))="En proceso")+--(INDEX(NORMATIVOS!$C$53:$W$53,1,MATCH($B$3,NORMATIVOS!$C$1:$W$1,0))="En proceso")+--(INDEX(NORMATIVOS!$C$54:$W$54,1,MATCH($B$3,NORMATIVOS!$C$1:$W$1,0))="En proceso")+--(INDEX(NORMATIVOS!$C$55:$W$55,1,MATCH($B$3,NORMATIVOS!$C$1:$W$1,0))="En proceso")+--(INDEX(NORMATIVOS!$C$56:$W$56,1,MATCH($B$3,NORMATIVOS!$C$1:$W$1,0))="En proceso")+--(INDEX(NORMATIVOS!$C$57:$W$57,1,MATCH($B$3,NORMATIVOS!$C$1:$W$1,0))="En proceso")+--(INDEX(NORMATIVOS!$C$58:$W$58,1,MATCH($B$3,NORMATIVOS!$C$1:$W$1,0))="En proceso")+--(INDEX(NORMATIVOS!$C$59:$W$59,1,MATCH($B$3,NORMATIVOS!$C$1:$W$1,0))="En proceso")+--(INDEX(NORMATIVOS!$C$60:$W$60,1,MATCH($B$3,NORMATIVOS!$C$1:$W$1,0))="En proceso")+--(INDEX(NORMATIVOS!$C$61:$W$61,1,MATCH($B$3,NORMATIVOS!$C$1:$W$1,0))="En proceso")+--(INDEX(NORMATIVOS!$C$62:$W$62,1,MATCH($B$3,NORMATIVOS!$C$1:$W$1,0))="En proceso")+--(INDEX(NORMATIVOS!$C$63:$W$63,1,MATCH($B$3,NORMATIVOS!$C$1:$W$1,0))="En proceso")+--(INDEX(NORMATIVOS!$C$64:$W$64,1,MATCH($B$3,NORMATIVOS!$C$1:$W$1,0))="En proceso")</f>
        <v>0</v>
      </c>
      <c r="G10">
        <f>--(INDEX(NORMATIVOS!$C$49:$W$49,1,MATCH($B$3,NORMATIVOS!$C$1:$W$1,0))="Proyección")+--(INDEX(NORMATIVOS!$C$50:$W$50,1,MATCH($B$3,NORMATIVOS!$C$1:$W$1,0))="Proyección")+--(INDEX(NORMATIVOS!$C$51:$W$51,1,MATCH($B$3,NORMATIVOS!$C$1:$W$1,0))="Proyección")+--(INDEX(NORMATIVOS!$C$52:$W$52,1,MATCH($B$3,NORMATIVOS!$C$1:$W$1,0))="Proyección")+--(INDEX(NORMATIVOS!$C$53:$W$53,1,MATCH($B$3,NORMATIVOS!$C$1:$W$1,0))="Proyección")+--(INDEX(NORMATIVOS!$C$54:$W$54,1,MATCH($B$3,NORMATIVOS!$C$1:$W$1,0))="Proyección")+--(INDEX(NORMATIVOS!$C$55:$W$55,1,MATCH($B$3,NORMATIVOS!$C$1:$W$1,0))="Proyección")+--(INDEX(NORMATIVOS!$C$56:$W$56,1,MATCH($B$3,NORMATIVOS!$C$1:$W$1,0))="Proyección")+--(INDEX(NORMATIVOS!$C$57:$W$57,1,MATCH($B$3,NORMATIVOS!$C$1:$W$1,0))="Proyección")+--(INDEX(NORMATIVOS!$C$58:$W$58,1,MATCH($B$3,NORMATIVOS!$C$1:$W$1,0))="Proyección")+--(INDEX(NORMATIVOS!$C$59:$W$59,1,MATCH($B$3,NORMATIVOS!$C$1:$W$1,0))="Proyección")+--(INDEX(NORMATIVOS!$C$60:$W$60,1,MATCH($B$3,NORMATIVOS!$C$1:$W$1,0))="Proyección")+--(INDEX(NORMATIVOS!$C$61:$W$61,1,MATCH($B$3,NORMATIVOS!$C$1:$W$1,0))="Proyección")+--(INDEX(NORMATIVOS!$C$62:$W$62,1,MATCH($B$3,NORMATIVOS!$C$1:$W$1,0))="Proyección")+--(INDEX(NORMATIVOS!$C$63:$W$63,1,MATCH($B$3,NORMATIVOS!$C$1:$W$1,0))="Proyección")+--(INDEX(NORMATIVOS!$C$64:$W$64,1,MATCH($B$3,NORMATIVOS!$C$1:$W$1,0))="Proyección")</f>
        <v>16</v>
      </c>
      <c r="H10" s="15">
        <f t="shared" si="0"/>
        <v>0</v>
      </c>
    </row>
    <row r="11" spans="1:8" x14ac:dyDescent="0.2">
      <c r="A11" s="14" t="s">
        <v>8</v>
      </c>
      <c r="B11" s="15">
        <f>INDEX(CONSOLIDADO!$G$4:$G$5,MATCH($B$3,CONSOLIDADO!$A$4:$A$5,0))</f>
        <v>0</v>
      </c>
      <c r="D11" t="s">
        <v>17</v>
      </c>
      <c r="E11">
        <f>--(INDEX(NORMATIVOS!$C$65:$W$65,1,MATCH($B$3,NORMATIVOS!$C$1:$W$1,0))="Consolidado")+--(INDEX(NORMATIVOS!$C$66:$W$66,1,MATCH($B$3,NORMATIVOS!$C$1:$W$1,0))="Consolidado")+--(INDEX(NORMATIVOS!$C$67:$W$67,1,MATCH($B$3,NORMATIVOS!$C$1:$W$1,0))="Consolidado")+--(INDEX(NORMATIVOS!$C$68:$W$68,1,MATCH($B$3,NORMATIVOS!$C$1:$W$1,0))="Consolidado")+--(INDEX(NORMATIVOS!$C$69:$W$69,1,MATCH($B$3,NORMATIVOS!$C$1:$W$1,0))="Consolidado")+--(INDEX(NORMATIVOS!$C$70:$W$70,1,MATCH($B$3,NORMATIVOS!$C$1:$W$1,0))="Consolidado")+--(INDEX(NORMATIVOS!$C$71:$W$71,1,MATCH($B$3,NORMATIVOS!$C$1:$W$1,0))="Consolidado")+--(INDEX(NORMATIVOS!$C$72:$W$72,1,MATCH($B$3,NORMATIVOS!$C$1:$W$1,0))="Consolidado")+--(INDEX(NORMATIVOS!$C$73:$W$73,1,MATCH($B$3,NORMATIVOS!$C$1:$W$1,0))="Consolidado")+--(INDEX(NORMATIVOS!$C$74:$W$74,1,MATCH($B$3,NORMATIVOS!$C$1:$W$1,0))="Consolidado")+--(INDEX(NORMATIVOS!$C$75:$W$75,1,MATCH($B$3,NORMATIVOS!$C$1:$W$1,0))="Consolidado")+--(INDEX(NORMATIVOS!$C$76:$W$76,1,MATCH($B$3,NORMATIVOS!$C$1:$W$1,0))="Consolidado")+--(INDEX(NORMATIVOS!$C$77:$W$77,1,MATCH($B$3,NORMATIVOS!$C$1:$W$1,0))="Consolidado")+--(INDEX(NORMATIVOS!$C$78:$W$78,1,MATCH($B$3,NORMATIVOS!$C$1:$W$1,0))="Consolidado")</f>
        <v>0</v>
      </c>
      <c r="F11">
        <f>--(INDEX(NORMATIVOS!$C$65:$W$65,1,MATCH($B$3,NORMATIVOS!$C$1:$W$1,0))="En proceso")+--(INDEX(NORMATIVOS!$C$66:$W$66,1,MATCH($B$3,NORMATIVOS!$C$1:$W$1,0))="En proceso")+--(INDEX(NORMATIVOS!$C$67:$W$67,1,MATCH($B$3,NORMATIVOS!$C$1:$W$1,0))="En proceso")+--(INDEX(NORMATIVOS!$C$68:$W$68,1,MATCH($B$3,NORMATIVOS!$C$1:$W$1,0))="En proceso")+--(INDEX(NORMATIVOS!$C$69:$W$69,1,MATCH($B$3,NORMATIVOS!$C$1:$W$1,0))="En proceso")+--(INDEX(NORMATIVOS!$C$70:$W$70,1,MATCH($B$3,NORMATIVOS!$C$1:$W$1,0))="En proceso")+--(INDEX(NORMATIVOS!$C$71:$W$71,1,MATCH($B$3,NORMATIVOS!$C$1:$W$1,0))="En proceso")+--(INDEX(NORMATIVOS!$C$72:$W$72,1,MATCH($B$3,NORMATIVOS!$C$1:$W$1,0))="En proceso")+--(INDEX(NORMATIVOS!$C$73:$W$73,1,MATCH($B$3,NORMATIVOS!$C$1:$W$1,0))="En proceso")+--(INDEX(NORMATIVOS!$C$74:$W$74,1,MATCH($B$3,NORMATIVOS!$C$1:$W$1,0))="En proceso")+--(INDEX(NORMATIVOS!$C$75:$W$75,1,MATCH($B$3,NORMATIVOS!$C$1:$W$1,0))="En proceso")+--(INDEX(NORMATIVOS!$C$76:$W$76,1,MATCH($B$3,NORMATIVOS!$C$1:$W$1,0))="En proceso")+--(INDEX(NORMATIVOS!$C$77:$W$77,1,MATCH($B$3,NORMATIVOS!$C$1:$W$1,0))="En proceso")+--(INDEX(NORMATIVOS!$C$78:$W$78,1,MATCH($B$3,NORMATIVOS!$C$1:$W$1,0))="En proceso")</f>
        <v>0</v>
      </c>
      <c r="G11">
        <f>--(INDEX(NORMATIVOS!$C$65:$W$65,1,MATCH($B$3,NORMATIVOS!$C$1:$W$1,0))="Proyección")+--(INDEX(NORMATIVOS!$C$66:$W$66,1,MATCH($B$3,NORMATIVOS!$C$1:$W$1,0))="Proyección")+--(INDEX(NORMATIVOS!$C$67:$W$67,1,MATCH($B$3,NORMATIVOS!$C$1:$W$1,0))="Proyección")+--(INDEX(NORMATIVOS!$C$68:$W$68,1,MATCH($B$3,NORMATIVOS!$C$1:$W$1,0))="Proyección")+--(INDEX(NORMATIVOS!$C$69:$W$69,1,MATCH($B$3,NORMATIVOS!$C$1:$W$1,0))="Proyección")+--(INDEX(NORMATIVOS!$C$70:$W$70,1,MATCH($B$3,NORMATIVOS!$C$1:$W$1,0))="Proyección")+--(INDEX(NORMATIVOS!$C$71:$W$71,1,MATCH($B$3,NORMATIVOS!$C$1:$W$1,0))="Proyección")+--(INDEX(NORMATIVOS!$C$72:$W$72,1,MATCH($B$3,NORMATIVOS!$C$1:$W$1,0))="Proyección")+--(INDEX(NORMATIVOS!$C$73:$W$73,1,MATCH($B$3,NORMATIVOS!$C$1:$W$1,0))="Proyección")+--(INDEX(NORMATIVOS!$C$74:$W$74,1,MATCH($B$3,NORMATIVOS!$C$1:$W$1,0))="Proyección")+--(INDEX(NORMATIVOS!$C$75:$W$75,1,MATCH($B$3,NORMATIVOS!$C$1:$W$1,0))="Proyección")+--(INDEX(NORMATIVOS!$C$76:$W$76,1,MATCH($B$3,NORMATIVOS!$C$1:$W$1,0))="Proyección")+--(INDEX(NORMATIVOS!$C$77:$W$77,1,MATCH($B$3,NORMATIVOS!$C$1:$W$1,0))="Proyección")+--(INDEX(NORMATIVOS!$C$78:$W$78,1,MATCH($B$3,NORMATIVOS!$C$1:$W$1,0))="Proyección")</f>
        <v>14</v>
      </c>
      <c r="H11" s="15">
        <f t="shared" si="0"/>
        <v>0</v>
      </c>
    </row>
    <row r="12" spans="1:8" x14ac:dyDescent="0.2">
      <c r="D12" t="s">
        <v>18</v>
      </c>
      <c r="E12">
        <f>--(INDEX(NORMATIVOS!$C$79:$W$79,1,MATCH($B$3,NORMATIVOS!$C$1:$W$1,0))="Consolidado")+--(INDEX(NORMATIVOS!$C$80:$W$80,1,MATCH($B$3,NORMATIVOS!$C$1:$W$1,0))="Consolidado")+--(INDEX(NORMATIVOS!$C$81:$W$81,1,MATCH($B$3,NORMATIVOS!$C$1:$W$1,0))="Consolidado")+--(INDEX(NORMATIVOS!$C$82:$W$82,1,MATCH($B$3,NORMATIVOS!$C$1:$W$1,0))="Consolidado")+--(INDEX(NORMATIVOS!$C$83:$W$83,1,MATCH($B$3,NORMATIVOS!$C$1:$W$1,0))="Consolidado")+--(INDEX(NORMATIVOS!$C$84:$W$84,1,MATCH($B$3,NORMATIVOS!$C$1:$W$1,0))="Consolidado")+--(INDEX(NORMATIVOS!$C$85:$W$85,1,MATCH($B$3,NORMATIVOS!$C$1:$W$1,0))="Consolidado")+--(INDEX(NORMATIVOS!$C$86:$W$86,1,MATCH($B$3,NORMATIVOS!$C$1:$W$1,0))="Consolidado")+--(INDEX(NORMATIVOS!$C$87:$W$87,1,MATCH($B$3,NORMATIVOS!$C$1:$W$1,0))="Consolidado")+--(INDEX(NORMATIVOS!$C$88:$W$88,1,MATCH($B$3,NORMATIVOS!$C$1:$W$1,0))="Consolidado")+--(INDEX(NORMATIVOS!$C$89:$W$89,1,MATCH($B$3,NORMATIVOS!$C$1:$W$1,0))="Consolidado")+--(INDEX(NORMATIVOS!$C$90:$W$90,1,MATCH($B$3,NORMATIVOS!$C$1:$W$1,0))="Consolidado")+--(INDEX(NORMATIVOS!$C$91:$W$91,1,MATCH($B$3,NORMATIVOS!$C$1:$W$1,0))="Consolidado")+--(INDEX(NORMATIVOS!$C$92:$W$92,1,MATCH($B$3,NORMATIVOS!$C$1:$W$1,0))="Consolidado")+--(INDEX(NORMATIVOS!$C$93:$W$93,1,MATCH($B$3,NORMATIVOS!$C$1:$W$1,0))="Consolidado")+--(INDEX(NORMATIVOS!$C$94:$W$94,1,MATCH($B$3,NORMATIVOS!$C$1:$W$1,0))="Consolidado")+--(INDEX(NORMATIVOS!$C$95:$W$95,1,MATCH($B$3,NORMATIVOS!$C$1:$W$1,0))="Consolidado")+--(INDEX(NORMATIVOS!$C$96:$W$96,1,MATCH($B$3,NORMATIVOS!$C$1:$W$1,0))="Consolidado")+--(INDEX(NORMATIVOS!$C$97:$W$97,1,MATCH($B$3,NORMATIVOS!$C$1:$W$1,0))="Consolidado")+--(INDEX(NORMATIVOS!$C$98:$W$98,1,MATCH($B$3,NORMATIVOS!$C$1:$W$1,0))="Consolidado")+--(INDEX(NORMATIVOS!$C$99:$W$99,1,MATCH($B$3,NORMATIVOS!$C$1:$W$1,0))="Consolidado")+--(INDEX(NORMATIVOS!$C$100:$W$100,1,MATCH($B$3,NORMATIVOS!$C$1:$W$1,0))="Consolidado")+--(INDEX(NORMATIVOS!$C$101:$W$101,1,MATCH($B$3,NORMATIVOS!$C$1:$W$1,0))="Consolidado")+--(INDEX(NORMATIVOS!$C$102:$W$102,1,MATCH($B$3,NORMATIVOS!$C$1:$W$1,0))="Consolidado")+--(INDEX(NORMATIVOS!$C$103:$W$103,1,MATCH($B$3,NORMATIVOS!$C$1:$W$1,0))="Consolidado")+--(INDEX(NORMATIVOS!$C$104:$W$104,1,MATCH($B$3,NORMATIVOS!$C$1:$W$1,0))="Consolidado")</f>
        <v>0</v>
      </c>
      <c r="F12">
        <f>--(INDEX(NORMATIVOS!$C$79:$W$79,1,MATCH($B$3,NORMATIVOS!$C$1:$W$1,0))="En proceso")+--(INDEX(NORMATIVOS!$C$80:$W$80,1,MATCH($B$3,NORMATIVOS!$C$1:$W$1,0))="En proceso")+--(INDEX(NORMATIVOS!$C$81:$W$81,1,MATCH($B$3,NORMATIVOS!$C$1:$W$1,0))="En proceso")+--(INDEX(NORMATIVOS!$C$82:$W$82,1,MATCH($B$3,NORMATIVOS!$C$1:$W$1,0))="En proceso")+--(INDEX(NORMATIVOS!$C$83:$W$83,1,MATCH($B$3,NORMATIVOS!$C$1:$W$1,0))="En proceso")+--(INDEX(NORMATIVOS!$C$84:$W$84,1,MATCH($B$3,NORMATIVOS!$C$1:$W$1,0))="En proceso")+--(INDEX(NORMATIVOS!$C$85:$W$85,1,MATCH($B$3,NORMATIVOS!$C$1:$W$1,0))="En proceso")+--(INDEX(NORMATIVOS!$C$86:$W$86,1,MATCH($B$3,NORMATIVOS!$C$1:$W$1,0))="En proceso")+--(INDEX(NORMATIVOS!$C$87:$W$87,1,MATCH($B$3,NORMATIVOS!$C$1:$W$1,0))="En proceso")+--(INDEX(NORMATIVOS!$C$88:$W$88,1,MATCH($B$3,NORMATIVOS!$C$1:$W$1,0))="En proceso")+--(INDEX(NORMATIVOS!$C$89:$W$89,1,MATCH($B$3,NORMATIVOS!$C$1:$W$1,0))="En proceso")+--(INDEX(NORMATIVOS!$C$90:$W$90,1,MATCH($B$3,NORMATIVOS!$C$1:$W$1,0))="En proceso")+--(INDEX(NORMATIVOS!$C$91:$W$91,1,MATCH($B$3,NORMATIVOS!$C$1:$W$1,0))="En proceso")+--(INDEX(NORMATIVOS!$C$92:$W$92,1,MATCH($B$3,NORMATIVOS!$C$1:$W$1,0))="En proceso")+--(INDEX(NORMATIVOS!$C$93:$W$93,1,MATCH($B$3,NORMATIVOS!$C$1:$W$1,0))="En proceso")+--(INDEX(NORMATIVOS!$C$94:$W$94,1,MATCH($B$3,NORMATIVOS!$C$1:$W$1,0))="En proceso")+--(INDEX(NORMATIVOS!$C$95:$W$95,1,MATCH($B$3,NORMATIVOS!$C$1:$W$1,0))="En proceso")+--(INDEX(NORMATIVOS!$C$96:$W$96,1,MATCH($B$3,NORMATIVOS!$C$1:$W$1,0))="En proceso")+--(INDEX(NORMATIVOS!$C$97:$W$97,1,MATCH($B$3,NORMATIVOS!$C$1:$W$1,0))="En proceso")+--(INDEX(NORMATIVOS!$C$98:$W$98,1,MATCH($B$3,NORMATIVOS!$C$1:$W$1,0))="En proceso")+--(INDEX(NORMATIVOS!$C$99:$W$99,1,MATCH($B$3,NORMATIVOS!$C$1:$W$1,0))="En proceso")+--(INDEX(NORMATIVOS!$C$100:$W$100,1,MATCH($B$3,NORMATIVOS!$C$1:$W$1,0))="En proceso")+--(INDEX(NORMATIVOS!$C$101:$W$101,1,MATCH($B$3,NORMATIVOS!$C$1:$W$1,0))="En proceso")+--(INDEX(NORMATIVOS!$C$102:$W$102,1,MATCH($B$3,NORMATIVOS!$C$1:$W$1,0))="En proceso")+--(INDEX(NORMATIVOS!$C$103:$W$103,1,MATCH($B$3,NORMATIVOS!$C$1:$W$1,0))="En proceso")+--(INDEX(NORMATIVOS!$C$104:$W$104,1,MATCH($B$3,NORMATIVOS!$C$1:$W$1,0))="En proceso")</f>
        <v>0</v>
      </c>
      <c r="G12">
        <f>--(INDEX(NORMATIVOS!$C$79:$W$79,1,MATCH($B$3,NORMATIVOS!$C$1:$W$1,0))="Proyección")+--(INDEX(NORMATIVOS!$C$80:$W$80,1,MATCH($B$3,NORMATIVOS!$C$1:$W$1,0))="Proyección")+--(INDEX(NORMATIVOS!$C$81:$W$81,1,MATCH($B$3,NORMATIVOS!$C$1:$W$1,0))="Proyección")+--(INDEX(NORMATIVOS!$C$82:$W$82,1,MATCH($B$3,NORMATIVOS!$C$1:$W$1,0))="Proyección")+--(INDEX(NORMATIVOS!$C$83:$W$83,1,MATCH($B$3,NORMATIVOS!$C$1:$W$1,0))="Proyección")+--(INDEX(NORMATIVOS!$C$84:$W$84,1,MATCH($B$3,NORMATIVOS!$C$1:$W$1,0))="Proyección")+--(INDEX(NORMATIVOS!$C$85:$W$85,1,MATCH($B$3,NORMATIVOS!$C$1:$W$1,0))="Proyección")+--(INDEX(NORMATIVOS!$C$86:$W$86,1,MATCH($B$3,NORMATIVOS!$C$1:$W$1,0))="Proyección")+--(INDEX(NORMATIVOS!$C$87:$W$87,1,MATCH($B$3,NORMATIVOS!$C$1:$W$1,0))="Proyección")+--(INDEX(NORMATIVOS!$C$88:$W$88,1,MATCH($B$3,NORMATIVOS!$C$1:$W$1,0))="Proyección")+--(INDEX(NORMATIVOS!$C$89:$W$89,1,MATCH($B$3,NORMATIVOS!$C$1:$W$1,0))="Proyección")+--(INDEX(NORMATIVOS!$C$90:$W$90,1,MATCH($B$3,NORMATIVOS!$C$1:$W$1,0))="Proyección")+--(INDEX(NORMATIVOS!$C$91:$W$91,1,MATCH($B$3,NORMATIVOS!$C$1:$W$1,0))="Proyección")+--(INDEX(NORMATIVOS!$C$92:$W$92,1,MATCH($B$3,NORMATIVOS!$C$1:$W$1,0))="Proyección")+--(INDEX(NORMATIVOS!$C$93:$W$93,1,MATCH($B$3,NORMATIVOS!$C$1:$W$1,0))="Proyección")+--(INDEX(NORMATIVOS!$C$94:$W$94,1,MATCH($B$3,NORMATIVOS!$C$1:$W$1,0))="Proyección")+--(INDEX(NORMATIVOS!$C$95:$W$95,1,MATCH($B$3,NORMATIVOS!$C$1:$W$1,0))="Proyección")+--(INDEX(NORMATIVOS!$C$96:$W$96,1,MATCH($B$3,NORMATIVOS!$C$1:$W$1,0))="Proyección")+--(INDEX(NORMATIVOS!$C$97:$W$97,1,MATCH($B$3,NORMATIVOS!$C$1:$W$1,0))="Proyección")+--(INDEX(NORMATIVOS!$C$98:$W$98,1,MATCH($B$3,NORMATIVOS!$C$1:$W$1,0))="Proyección")+--(INDEX(NORMATIVOS!$C$99:$W$99,1,MATCH($B$3,NORMATIVOS!$C$1:$W$1,0))="Proyección")+--(INDEX(NORMATIVOS!$C$100:$W$100,1,MATCH($B$3,NORMATIVOS!$C$1:$W$1,0))="Proyección")+--(INDEX(NORMATIVOS!$C$101:$W$101,1,MATCH($B$3,NORMATIVOS!$C$1:$W$1,0))="Proyección")+--(INDEX(NORMATIVOS!$C$102:$W$102,1,MATCH($B$3,NORMATIVOS!$C$1:$W$1,0))="Proyección")+--(INDEX(NORMATIVOS!$C$103:$W$103,1,MATCH($B$3,NORMATIVOS!$C$1:$W$1,0))="Proyección")+--(INDEX(NORMATIVOS!$C$104:$W$104,1,MATCH($B$3,NORMATIVOS!$C$1:$W$1,0))="Proyección")</f>
        <v>26</v>
      </c>
      <c r="H12" s="15">
        <f t="shared" si="0"/>
        <v>0</v>
      </c>
    </row>
    <row r="13" spans="1:8" x14ac:dyDescent="0.2">
      <c r="D13" t="s">
        <v>19</v>
      </c>
      <c r="E13">
        <f>--(INDEX(NORMATIVOS!$C$107:$N$107,1,MATCH($B$3,NORMATIVOS!$C$1:$W$1,0))="Consolidado")+--(INDEX(NORMATIVOS!$C$108:$W$108,1,MATCH($B$3,NORMATIVOS!$C$1:$W$1,0))="Consolidado")+--(INDEX(NORMATIVOS!$C$109:$W$109,1,MATCH($B$3,NORMATIVOS!$C$1:$W$1,0))="Consolidado")+--(INDEX(NORMATIVOS!$C$110:$W$110,1,MATCH($B$3,NORMATIVOS!$C$1:$W$1,0))="Consolidado")+--(INDEX(NORMATIVOS!$C$111:$W$111,1,MATCH($B$3,NORMATIVOS!$C$1:$W$1,0))="Consolidado")+--(INDEX(NORMATIVOS!$C$112:$W$112,1,MATCH($B$3,NORMATIVOS!$C$1:$W$1,0))="Consolidado")+--(INDEX(NORMATIVOS!$C$113:$W$113,1,MATCH($B$3,NORMATIVOS!$C$1:$W$1,0))="Consolidado")+--(INDEX(NORMATIVOS!$C$114:$W$114,1,MATCH($B$3,NORMATIVOS!$C$1:$W$1,0))="Consolidado")+--(INDEX(NORMATIVOS!$C$115:$W$115,1,MATCH($B$3,NORMATIVOS!$C$1:$W$1,0))="Consolidado")+--(INDEX(NORMATIVOS!$C$116:$W$116,1,MATCH($B$3,NORMATIVOS!$C$1:$W$1,0))="Consolidado")+--(INDEX(NORMATIVOS!$C$117:$W$117,1,MATCH($B$3,NORMATIVOS!$C$1:$W$1,0))="Consolidado")+--(INDEX(NORMATIVOS!$C$118:$W$118,1,MATCH($B$3,NORMATIVOS!$C$1:$W$1,0))="Consolidado")+--(INDEX(NORMATIVOS!$C$119:$W$119,1,MATCH($B$3,NORMATIVOS!$C$1:$W$1,0))="Consolidado")+--(INDEX(NORMATIVOS!$C$120:$W$120,1,MATCH($B$3,NORMATIVOS!$C$1:$W$1,0))="Consolidado")+--(INDEX(NORMATIVOS!$C$121:$W$121,1,MATCH($B$3,NORMATIVOS!$C$1:$W$1,0))="Consolidado")</f>
        <v>0</v>
      </c>
      <c r="F13">
        <f>--(INDEX(NORMATIVOS!$C$107:$N$107,1,MATCH($B$3,NORMATIVOS!$C$1:$W$1,0))="En proceso")+--(INDEX(NORMATIVOS!$C$108:$W$108,1,MATCH($B$3,NORMATIVOS!$C$1:$W$1,0))="En proceso")+--(INDEX(NORMATIVOS!$C$109:$W$109,1,MATCH($B$3,NORMATIVOS!$C$1:$W$1,0))="En proceso")+--(INDEX(NORMATIVOS!$C$110:$W$110,1,MATCH($B$3,NORMATIVOS!$C$1:$W$1,0))="En proceso")+--(INDEX(NORMATIVOS!$C$111:$W$111,1,MATCH($B$3,NORMATIVOS!$C$1:$W$1,0))="En proceso")+--(INDEX(NORMATIVOS!$C$112:$W$112,1,MATCH($B$3,NORMATIVOS!$C$1:$W$1,0))="En proceso")+--(INDEX(NORMATIVOS!$C$113:$W$113,1,MATCH($B$3,NORMATIVOS!$C$1:$W$1,0))="En proceso")+--(INDEX(NORMATIVOS!$C$114:$W$114,1,MATCH($B$3,NORMATIVOS!$C$1:$W$1,0))="En proceso")+--(INDEX(NORMATIVOS!$C$115:$W$115,1,MATCH($B$3,NORMATIVOS!$C$1:$W$1,0))="En proceso")+--(INDEX(NORMATIVOS!$C$116:$W$116,1,MATCH($B$3,NORMATIVOS!$C$1:$W$1,0))="En proceso")+--(INDEX(NORMATIVOS!$C$117:$W$117,1,MATCH($B$3,NORMATIVOS!$C$1:$W$1,0))="En proceso")+--(INDEX(NORMATIVOS!$C$118:$W$118,1,MATCH($B$3,NORMATIVOS!$C$1:$W$1,0))="En proceso")+--(INDEX(NORMATIVOS!$C$119:$W$119,1,MATCH($B$3,NORMATIVOS!$C$1:$W$1,0))="En proceso")+--(INDEX(NORMATIVOS!$C$120:$W$120,1,MATCH($B$3,NORMATIVOS!$C$1:$W$1,0))="En proceso")+--(INDEX(NORMATIVOS!$C$121:$W$121,1,MATCH($B$3,NORMATIVOS!$C$1:$W$1,0))="En proceso")</f>
        <v>0</v>
      </c>
      <c r="G13">
        <f>--(INDEX(NORMATIVOS!$C$107:$N$107,1,MATCH($B$3,NORMATIVOS!$C$1:$W$1,0))="Proyección")+--(INDEX(NORMATIVOS!$C$108:$W$108,1,MATCH($B$3,NORMATIVOS!$C$1:$W$1,0))="Proyección")+--(INDEX(NORMATIVOS!$C$109:$W$109,1,MATCH($B$3,NORMATIVOS!$C$1:$W$1,0))="Proyección")+--(INDEX(NORMATIVOS!$C$110:$W$110,1,MATCH($B$3,NORMATIVOS!$C$1:$W$1,0))="Proyección")+--(INDEX(NORMATIVOS!$C$111:$W$111,1,MATCH($B$3,NORMATIVOS!$C$1:$W$1,0))="Proyección")+--(INDEX(NORMATIVOS!$C$112:$W$112,1,MATCH($B$3,NORMATIVOS!$C$1:$W$1,0))="Proyección")+--(INDEX(NORMATIVOS!$C$113:$W$113,1,MATCH($B$3,NORMATIVOS!$C$1:$W$1,0))="Proyección")+--(INDEX(NORMATIVOS!$C$114:$W$114,1,MATCH($B$3,NORMATIVOS!$C$1:$W$1,0))="Proyección")+--(INDEX(NORMATIVOS!$C$115:$W$115,1,MATCH($B$3,NORMATIVOS!$C$1:$W$1,0))="Proyección")+--(INDEX(NORMATIVOS!$C$116:$W$116,1,MATCH($B$3,NORMATIVOS!$C$1:$W$1,0))="Proyección")+--(INDEX(NORMATIVOS!$C$117:$W$117,1,MATCH($B$3,NORMATIVOS!$C$1:$W$1,0))="Proyección")+--(INDEX(NORMATIVOS!$C$118:$W$118,1,MATCH($B$3,NORMATIVOS!$C$1:$W$1,0))="Proyección")+--(INDEX(NORMATIVOS!$C$119:$W$119,1,MATCH($B$3,NORMATIVOS!$C$1:$W$1,0))="Proyección")+--(INDEX(NORMATIVOS!$C$120:$W$120,1,MATCH($B$3,NORMATIVOS!$C$1:$W$1,0))="Proyección")+--(INDEX(NORMATIVOS!$C$121:$W$121,1,MATCH($B$3,NORMATIVOS!$C$1:$W$1,0))="Proyección")</f>
        <v>15</v>
      </c>
      <c r="H13" s="15">
        <f t="shared" si="0"/>
        <v>0</v>
      </c>
    </row>
    <row r="14" spans="1:8" x14ac:dyDescent="0.2">
      <c r="D14" t="s">
        <v>20</v>
      </c>
      <c r="E14">
        <f>--(INDEX(NORMATIVOS!$C$122:$W$122,1,MATCH($B$3,NORMATIVOS!$C$1:$W$1,0))="Consolidado")+--(INDEX(NORMATIVOS!$C$123:$W$123,1,MATCH($B$3,NORMATIVOS!$C$1:$W$1,0))="Consolidado")+--(INDEX(NORMATIVOS!$C$124:$W$124,1,MATCH($B$3,NORMATIVOS!$C$1:$W$1,0))="Consolidado")+--(INDEX(NORMATIVOS!$C$125:$W$125,1,MATCH($B$3,NORMATIVOS!$C$1:$W$1,0))="Consolidado")+--(INDEX(NORMATIVOS!$C$126:$W$126,1,MATCH($B$3,NORMATIVOS!$C$1:$W$1,0))="Consolidado")+--(INDEX(NORMATIVOS!$C$127:$W$127,1,MATCH($B$3,NORMATIVOS!$C$1:$W$1,0))="Consolidado")+--(INDEX(NORMATIVOS!$C$128:$W$128,1,MATCH($B$3,NORMATIVOS!$C$1:$W$1,0))="Consolidado")+--(INDEX(NORMATIVOS!$C$129:$W$129,1,MATCH($B$3,NORMATIVOS!$C$1:$W$1,0))="Consolidado")+--(INDEX(NORMATIVOS!$C$130:$W$130,1,MATCH($B$3,NORMATIVOS!$C$1:$W$1,0))="Consolidado")+--(INDEX(NORMATIVOS!$C$131:$W$131,1,MATCH($B$3,NORMATIVOS!$C$1:$W$1,0))="Consolidado")+--(INDEX(NORMATIVOS!$C$132:$W$132,1,MATCH($B$3,NORMATIVOS!$C$1:$W$1,0))="Consolidado")+--(INDEX(NORMATIVOS!$C$133:$W$133,1,MATCH($B$3,NORMATIVOS!$C$1:$W$1,0))="Consolidado")+--(INDEX(NORMATIVOS!$C$134:$W$134,1,MATCH($B$3,NORMATIVOS!$C$1:$W$1,0))="Consolidado")+--(INDEX(NORMATIVOS!$C$135:$W$135,1,MATCH($B$3,NORMATIVOS!$C$1:$W$1,0))="Consolidado")+--(INDEX(NORMATIVOS!$C$136:$W$136,1,MATCH($B$3,NORMATIVOS!$C$1:$W$1,0))="Consolidado")+--(INDEX(NORMATIVOS!$C$137:$W$137,1,MATCH($B$3,NORMATIVOS!$C$1:$W$1,0))="Consolidado")+--(INDEX(NORMATIVOS!$C$138:$W$138,1,MATCH($B$3,NORMATIVOS!$C$1:$W$1,0))="Consolidado")+--(INDEX(NORMATIVOS!$C$139:$W$139,1,MATCH($B$3,NORMATIVOS!$C$1:$W$1,0))="Consolidado")+--(INDEX(NORMATIVOS!$C$140:$W$140,1,MATCH($B$3,NORMATIVOS!$C$1:$W$1,0))="Consolidado")+--(INDEX(NORMATIVOS!$C$141:$W$141,1,MATCH($B$3,NORMATIVOS!$C$1:$W$1,0))="Consolidado")</f>
        <v>0</v>
      </c>
      <c r="F14">
        <f>--(INDEX(NORMATIVOS!$C$122:$W$122,1,MATCH($B$3,NORMATIVOS!$C$1:$W$1,0))="En proceso")+--(INDEX(NORMATIVOS!$C$123:$W$123,1,MATCH($B$3,NORMATIVOS!$C$1:$W$1,0))="En proceso")+--(INDEX(NORMATIVOS!$C$124:$W$124,1,MATCH($B$3,NORMATIVOS!$C$1:$W$1,0))="En proceso")+--(INDEX(NORMATIVOS!$C$125:$W$125,1,MATCH($B$3,NORMATIVOS!$C$1:$W$1,0))="En proceso")+--(INDEX(NORMATIVOS!$C$126:$W$126,1,MATCH($B$3,NORMATIVOS!$C$1:$W$1,0))="En proceso")+--(INDEX(NORMATIVOS!$C$127:$W$127,1,MATCH($B$3,NORMATIVOS!$C$1:$W$1,0))="En proceso")+--(INDEX(NORMATIVOS!$C$128:$W$128,1,MATCH($B$3,NORMATIVOS!$C$1:$W$1,0))="En proceso")+--(INDEX(NORMATIVOS!$C$129:$W$129,1,MATCH($B$3,NORMATIVOS!$C$1:$W$1,0))="En proceso")+--(INDEX(NORMATIVOS!$C$130:$W$130,1,MATCH($B$3,NORMATIVOS!$C$1:$W$1,0))="En proceso")+--(INDEX(NORMATIVOS!$C$131:$W$131,1,MATCH($B$3,NORMATIVOS!$C$1:$W$1,0))="En proceso")+--(INDEX(NORMATIVOS!$C$132:$W$132,1,MATCH($B$3,NORMATIVOS!$C$1:$W$1,0))="En proceso")+--(INDEX(NORMATIVOS!$C$133:$W$133,1,MATCH($B$3,NORMATIVOS!$C$1:$W$1,0))="En proceso")+--(INDEX(NORMATIVOS!$C$134:$W$134,1,MATCH($B$3,NORMATIVOS!$C$1:$W$1,0))="En proceso")+--(INDEX(NORMATIVOS!$C$135:$W$135,1,MATCH($B$3,NORMATIVOS!$C$1:$W$1,0))="En proceso")+--(INDEX(NORMATIVOS!$C$136:$W$136,1,MATCH($B$3,NORMATIVOS!$C$1:$W$1,0))="En proceso")+--(INDEX(NORMATIVOS!$C$137:$W$137,1,MATCH($B$3,NORMATIVOS!$C$1:$W$1,0))="En proceso")+--(INDEX(NORMATIVOS!$C$138:$W$138,1,MATCH($B$3,NORMATIVOS!$C$1:$W$1,0))="En proceso")+--(INDEX(NORMATIVOS!$C$139:$W$139,1,MATCH($B$3,NORMATIVOS!$C$1:$W$1,0))="En proceso")+--(INDEX(NORMATIVOS!$C$140:$W$140,1,MATCH($B$3,NORMATIVOS!$C$1:$W$1,0))="En proceso")+--(INDEX(NORMATIVOS!$C$141:$W$141,1,MATCH($B$3,NORMATIVOS!$C$1:$W$1,0))="En proceso")</f>
        <v>0</v>
      </c>
      <c r="G14">
        <f>--(INDEX(NORMATIVOS!$C$122:$W$122,1,MATCH($B$3,NORMATIVOS!$C$1:$W$1,0))="Proyección")+--(INDEX(NORMATIVOS!$C$123:$W$123,1,MATCH($B$3,NORMATIVOS!$C$1:$W$1,0))="Proyección")+--(INDEX(NORMATIVOS!$C$124:$W$124,1,MATCH($B$3,NORMATIVOS!$C$1:$W$1,0))="Proyección")+--(INDEX(NORMATIVOS!$C$125:$W$125,1,MATCH($B$3,NORMATIVOS!$C$1:$W$1,0))="Proyección")+--(INDEX(NORMATIVOS!$C$126:$W$126,1,MATCH($B$3,NORMATIVOS!$C$1:$W$1,0))="Proyección")+--(INDEX(NORMATIVOS!$C$127:$W$127,1,MATCH($B$3,NORMATIVOS!$C$1:$W$1,0))="Proyección")+--(INDEX(NORMATIVOS!$C$128:$W$128,1,MATCH($B$3,NORMATIVOS!$C$1:$W$1,0))="Proyección")+--(INDEX(NORMATIVOS!$C$129:$W$129,1,MATCH($B$3,NORMATIVOS!$C$1:$W$1,0))="Proyección")+--(INDEX(NORMATIVOS!$C$130:$W$130,1,MATCH($B$3,NORMATIVOS!$C$1:$W$1,0))="Proyección")+--(INDEX(NORMATIVOS!$C$131:$W$131,1,MATCH($B$3,NORMATIVOS!$C$1:$W$1,0))="Proyección")+--(INDEX(NORMATIVOS!$C$132:$W$132,1,MATCH($B$3,NORMATIVOS!$C$1:$W$1,0))="Proyección")+--(INDEX(NORMATIVOS!$C$133:$W$133,1,MATCH($B$3,NORMATIVOS!$C$1:$W$1,0))="Proyección")+--(INDEX(NORMATIVOS!$C$134:$W$134,1,MATCH($B$3,NORMATIVOS!$C$1:$W$1,0))="Proyección")+--(INDEX(NORMATIVOS!$C$135:$W$135,1,MATCH($B$3,NORMATIVOS!$C$1:$W$1,0))="Proyección")+--(INDEX(NORMATIVOS!$C$136:$W$136,1,MATCH($B$3,NORMATIVOS!$C$1:$W$1,0))="Proyección")+--(INDEX(NORMATIVOS!$C$137:$W$137,1,MATCH($B$3,NORMATIVOS!$C$1:$W$1,0))="Proyección")+--(INDEX(NORMATIVOS!$C$138:$W$138,1,MATCH($B$3,NORMATIVOS!$C$1:$W$1,0))="Proyección")+--(INDEX(NORMATIVOS!$C$139:$W$139,1,MATCH($B$3,NORMATIVOS!$C$1:$W$1,0))="Proyección")+--(INDEX(NORMATIVOS!$C$140:$W$140,1,MATCH($B$3,NORMATIVOS!$C$1:$W$1,0))="Proyección")+--(INDEX(NORMATIVOS!$C$141:$W$141,1,MATCH($B$3,NORMATIVOS!$C$1:$W$1,0))="Proyección")</f>
        <v>20</v>
      </c>
      <c r="H14" s="15">
        <f t="shared" si="0"/>
        <v>0</v>
      </c>
    </row>
    <row r="15" spans="1:8" x14ac:dyDescent="0.2">
      <c r="D15" t="s">
        <v>21</v>
      </c>
      <c r="E15">
        <f>--(INDEX(NORMATIVOS!$C$144:$W$144,1,MATCH($B$3,NORMATIVOS!$C$1:$W$1,0))="Consolidado")+--(INDEX(NORMATIVOS!$C$145:$W$145,1,MATCH($B$3,NORMATIVOS!$C$1:$W$1,0))="Consolidado")+--(INDEX(NORMATIVOS!$C$146:$W$146,1,MATCH($B$3,NORMATIVOS!$C$1:$W$1,0))="Consolidado")+--(INDEX(NORMATIVOS!$C$147:$W$147,1,MATCH($B$3,NORMATIVOS!$C$1:$W$1,0))="Consolidado")+--(INDEX(NORMATIVOS!$C$148:$W$148,1,MATCH($B$3,NORMATIVOS!$C$1:$W$1,0))="Consolidado")+--(INDEX(NORMATIVOS!$C$149:$W$149,1,MATCH($B$3,NORMATIVOS!$C$1:$W$1,0))="Consolidado")+--(INDEX(NORMATIVOS!$C$150:$W$150,1,MATCH($B$3,NORMATIVOS!$C$1:$W$1,0))="Consolidado")</f>
        <v>0</v>
      </c>
      <c r="F15">
        <f>--(INDEX(NORMATIVOS!$C$144:$W$144,1,MATCH($B$3,NORMATIVOS!$C$1:$W$1,0))="En proceso")+--(INDEX(NORMATIVOS!$C$145:$W$145,1,MATCH($B$3,NORMATIVOS!$C$1:$W$1,0))="En proceso")+--(INDEX(NORMATIVOS!$C$146:$W$146,1,MATCH($B$3,NORMATIVOS!$C$1:$W$1,0))="En proceso")+--(INDEX(NORMATIVOS!$C$147:$W$147,1,MATCH($B$3,NORMATIVOS!$C$1:$W$1,0))="En proceso")+--(INDEX(NORMATIVOS!$C$148:$W$148,1,MATCH($B$3,NORMATIVOS!$C$1:$W$1,0))="En proceso")+--(INDEX(NORMATIVOS!$C$149:$W$149,1,MATCH($B$3,NORMATIVOS!$C$1:$W$1,0))="En proceso")+--(INDEX(NORMATIVOS!$C$150:$W$150,1,MATCH($B$3,NORMATIVOS!$C$1:$W$1,0))="En proceso")</f>
        <v>0</v>
      </c>
      <c r="G15">
        <f>--(INDEX(NORMATIVOS!$C$144:$W$144,1,MATCH($B$3,NORMATIVOS!$C$1:$W$1,0))="Proyección")+--(INDEX(NORMATIVOS!$C$145:$W$145,1,MATCH($B$3,NORMATIVOS!$C$1:$W$1,0))="Proyección")+--(INDEX(NORMATIVOS!$C$146:$W$146,1,MATCH($B$3,NORMATIVOS!$C$1:$W$1,0))="Proyección")+--(INDEX(NORMATIVOS!$C$147:$W$147,1,MATCH($B$3,NORMATIVOS!$C$1:$W$1,0))="Proyección")+--(INDEX(NORMATIVOS!$C$148:$W$148,1,MATCH($B$3,NORMATIVOS!$C$1:$W$1,0))="Proyección")+--(INDEX(NORMATIVOS!$C$149:$W$149,1,MATCH($B$3,NORMATIVOS!$C$1:$W$1,0))="Proyección")+--(INDEX(NORMATIVOS!$C$150:$W$150,1,MATCH($B$3,NORMATIVOS!$C$1:$W$1,0))="Proyección")</f>
        <v>7</v>
      </c>
      <c r="H15" s="15">
        <f t="shared" si="0"/>
        <v>0</v>
      </c>
    </row>
    <row r="16" spans="1:8" x14ac:dyDescent="0.2">
      <c r="D16" t="s">
        <v>22</v>
      </c>
      <c r="E16">
        <f>--(INDEX(NORMATIVOS!$C$151:$W$151,1,MATCH($B$3,NORMATIVOS!$C$1:$W$1,0))="Consolidado")+--(INDEX(NORMATIVOS!$C$152:$W$152,1,MATCH($B$3,NORMATIVOS!$C$1:$W$1,0))="Consolidado")+--(INDEX(NORMATIVOS!$C$153:$W$153,1,MATCH($B$3,NORMATIVOS!$C$1:$W$1,0))="Consolidado")+--(INDEX(NORMATIVOS!$C$154:$W$154,1,MATCH($B$3,NORMATIVOS!$C$1:$W$1,0))="Consolidado")+--(INDEX(NORMATIVOS!$C$155:$W$155,1,MATCH($B$3,NORMATIVOS!$C$1:$W$1,0))="Consolidado")+--(INDEX(NORMATIVOS!$C$156:$W$156,1,MATCH($B$3,NORMATIVOS!$C$1:$W$1,0))="Consolidado")+--(INDEX(NORMATIVOS!$C$157:$W$157,1,MATCH($B$3,NORMATIVOS!$C$1:$W$1,0))="Consolidado")+--(INDEX(NORMATIVOS!$C$158:$W$158,1,MATCH($B$3,NORMATIVOS!$C$1:$W$1,0))="Consolidado")+--(INDEX(NORMATIVOS!$C$159:$W$159,1,MATCH($B$3,NORMATIVOS!$C$1:$W$1,0))="Consolidado")+--(INDEX(NORMATIVOS!$C$160:$W$160,1,MATCH($B$3,NORMATIVOS!$C$1:$W$1,0))="Consolidado")+--(INDEX(NORMATIVOS!$C$161:$W$161,1,MATCH($B$3,NORMATIVOS!$C$1:$W$1,0))="Consolidado")+--(INDEX(NORMATIVOS!$C$162:$W$162,1,MATCH($B$3,NORMATIVOS!$C$1:$W$1,0))="Consolidado")+--(INDEX(NORMATIVOS!$C$163:$W$163,1,MATCH($B$3,NORMATIVOS!$C$1:$W$1,0))="Consolidado")+--(INDEX(NORMATIVOS!$C$164:$W$164,1,MATCH($B$3,NORMATIVOS!$C$1:$W$1,0))="Consolidado")+--(INDEX(NORMATIVOS!$C$165:$W$165,1,MATCH($B$3,NORMATIVOS!$C$1:$W$1,0))="Consolidado")+--(INDEX(NORMATIVOS!$C$166:$W$166,1,MATCH($B$3,NORMATIVOS!$C$1:$W$1,0))="Consolidado")+--(INDEX(NORMATIVOS!$C$167:$W$167,1,MATCH($B$3,NORMATIVOS!$C$1:$W$1,0))="Consolidado")+--(INDEX(NORMATIVOS!$C$168:$W$168,1,MATCH($B$3,NORMATIVOS!$C$1:$W$1,0))="Consolidado")+--(INDEX(NORMATIVOS!$C$169:$W$169,1,MATCH($B$3,NORMATIVOS!$C$1:$W$1,0))="Consolidado")+--(INDEX(NORMATIVOS!$C$170:$W$170,1,MATCH($B$3,NORMATIVOS!$C$1:$W$1,0))="Consolidado")+--(INDEX(NORMATIVOS!$C$171:$W$171,1,MATCH($B$3,NORMATIVOS!$C$1:$W$1,0))="Consolidado")+--(INDEX(NORMATIVOS!$C$172:$W$172,1,MATCH($B$3,NORMATIVOS!$C$1:$W$1,0))="Consolidado")</f>
        <v>0</v>
      </c>
      <c r="F16">
        <f>--(INDEX(NORMATIVOS!$C$151:$W$151,1,MATCH($B$3,NORMATIVOS!$C$1:$W$1,0))="En proceso")+--(INDEX(NORMATIVOS!$C$152:$W$152,1,MATCH($B$3,NORMATIVOS!$C$1:$W$1,0))="En proceso")+--(INDEX(NORMATIVOS!$C$153:$W$153,1,MATCH($B$3,NORMATIVOS!$C$1:$W$1,0))="En proceso")+--(INDEX(NORMATIVOS!$C$154:$W$154,1,MATCH($B$3,NORMATIVOS!$C$1:$W$1,0))="En proceso")+--(INDEX(NORMATIVOS!$C$155:$W$155,1,MATCH($B$3,NORMATIVOS!$C$1:$W$1,0))="En proceso")+--(INDEX(NORMATIVOS!$C$156:$W$156,1,MATCH($B$3,NORMATIVOS!$C$1:$W$1,0))="En proceso")+--(INDEX(NORMATIVOS!$C$157:$W$157,1,MATCH($B$3,NORMATIVOS!$C$1:$W$1,0))="En proceso")+--(INDEX(NORMATIVOS!$C$158:$W$158,1,MATCH($B$3,NORMATIVOS!$C$1:$W$1,0))="En proceso")+--(INDEX(NORMATIVOS!$C$159:$W$159,1,MATCH($B$3,NORMATIVOS!$C$1:$W$1,0))="En proceso")+--(INDEX(NORMATIVOS!$C$160:$W$160,1,MATCH($B$3,NORMATIVOS!$C$1:$W$1,0))="En proceso")+--(INDEX(NORMATIVOS!$C$161:$W$161,1,MATCH($B$3,NORMATIVOS!$C$1:$W$1,0))="En proceso")+--(INDEX(NORMATIVOS!$C$162:$W$162,1,MATCH($B$3,NORMATIVOS!$C$1:$W$1,0))="En proceso")+--(INDEX(NORMATIVOS!$C$163:$W$163,1,MATCH($B$3,NORMATIVOS!$C$1:$W$1,0))="En proceso")+--(INDEX(NORMATIVOS!$C$164:$W$164,1,MATCH($B$3,NORMATIVOS!$C$1:$W$1,0))="En proceso")+--(INDEX(NORMATIVOS!$C$165:$W$165,1,MATCH($B$3,NORMATIVOS!$C$1:$W$1,0))="En proceso")+--(INDEX(NORMATIVOS!$C$166:$W$166,1,MATCH($B$3,NORMATIVOS!$C$1:$W$1,0))="En proceso")+--(INDEX(NORMATIVOS!$C$167:$W$167,1,MATCH($B$3,NORMATIVOS!$C$1:$W$1,0))="En proceso")+--(INDEX(NORMATIVOS!$C$168:$W$168,1,MATCH($B$3,NORMATIVOS!$C$1:$W$1,0))="En proceso")+--(INDEX(NORMATIVOS!$C$169:$W$169,1,MATCH($B$3,NORMATIVOS!$C$1:$W$1,0))="En proceso")+--(INDEX(NORMATIVOS!$C$170:$W$170,1,MATCH($B$3,NORMATIVOS!$C$1:$W$1,0))="En proceso")+--(INDEX(NORMATIVOS!$C$171:$W$171,1,MATCH($B$3,NORMATIVOS!$C$1:$W$1,0))="En proceso")+--(INDEX(NORMATIVOS!$C$172:$W$172,1,MATCH($B$3,NORMATIVOS!$C$1:$W$1,0))="En proceso")</f>
        <v>0</v>
      </c>
      <c r="G16">
        <f>--(INDEX(NORMATIVOS!$C$151:$W$151,1,MATCH($B$3,NORMATIVOS!$C$1:$W$1,0))="Proyección")+--(INDEX(NORMATIVOS!$C$152:$W$152,1,MATCH($B$3,NORMATIVOS!$C$1:$W$1,0))="Proyección")+--(INDEX(NORMATIVOS!$C$153:$W$153,1,MATCH($B$3,NORMATIVOS!$C$1:$W$1,0))="Proyección")+--(INDEX(NORMATIVOS!$C$154:$W$154,1,MATCH($B$3,NORMATIVOS!$C$1:$W$1,0))="Proyección")+--(INDEX(NORMATIVOS!$C$155:$W$155,1,MATCH($B$3,NORMATIVOS!$C$1:$W$1,0))="Proyección")+--(INDEX(NORMATIVOS!$C$156:$W$156,1,MATCH($B$3,NORMATIVOS!$C$1:$W$1,0))="Proyección")+--(INDEX(NORMATIVOS!$C$157:$W$157,1,MATCH($B$3,NORMATIVOS!$C$1:$W$1,0))="Proyección")+--(INDEX(NORMATIVOS!$C$158:$W$158,1,MATCH($B$3,NORMATIVOS!$C$1:$W$1,0))="Proyección")+--(INDEX(NORMATIVOS!$C$159:$W$159,1,MATCH($B$3,NORMATIVOS!$C$1:$W$1,0))="Proyección")+--(INDEX(NORMATIVOS!$C$160:$W$160,1,MATCH($B$3,NORMATIVOS!$C$1:$W$1,0))="Proyección")+--(INDEX(NORMATIVOS!$C$161:$W$161,1,MATCH($B$3,NORMATIVOS!$C$1:$W$1,0))="Proyección")+--(INDEX(NORMATIVOS!$C$162:$W$162,1,MATCH($B$3,NORMATIVOS!$C$1:$W$1,0))="Proyección")+--(INDEX(NORMATIVOS!$C$163:$W$163,1,MATCH($B$3,NORMATIVOS!$C$1:$W$1,0))="Proyección")+--(INDEX(NORMATIVOS!$C$164:$W$164,1,MATCH($B$3,NORMATIVOS!$C$1:$W$1,0))="Proyección")+--(INDEX(NORMATIVOS!$C$165:$W$165,1,MATCH($B$3,NORMATIVOS!$C$1:$W$1,0))="Proyección")+--(INDEX(NORMATIVOS!$C$166:$W$166,1,MATCH($B$3,NORMATIVOS!$C$1:$W$1,0))="Proyección")+--(INDEX(NORMATIVOS!$C$167:$W$167,1,MATCH($B$3,NORMATIVOS!$C$1:$W$1,0))="Proyección")+--(INDEX(NORMATIVOS!$C$168:$W$168,1,MATCH($B$3,NORMATIVOS!$C$1:$W$1,0))="Proyección")+--(INDEX(NORMATIVOS!$C$169:$W$169,1,MATCH($B$3,NORMATIVOS!$C$1:$W$1,0))="Proyección")+--(INDEX(NORMATIVOS!$C$170:$W$170,1,MATCH($B$3,NORMATIVOS!$C$1:$W$1,0))="Proyección")+--(INDEX(NORMATIVOS!$C$171:$W$171,1,MATCH($B$3,NORMATIVOS!$C$1:$W$1,0))="Proyección")+--(INDEX(NORMATIVOS!$C$172:$W$172,1,MATCH($B$3,NORMATIVOS!$C$1:$W$1,0))="Proyección")</f>
        <v>22</v>
      </c>
      <c r="H16" s="15">
        <f t="shared" si="0"/>
        <v>0</v>
      </c>
    </row>
    <row r="17" spans="1:8" x14ac:dyDescent="0.2">
      <c r="D17" t="s">
        <v>23</v>
      </c>
      <c r="E17">
        <f>--(INDEX(NORMATIVOS!$C$175:$W$175,1,MATCH($B$3,NORMATIVOS!$C$1:$W$1,0))="Consolidado")+--(INDEX(NORMATIVOS!$C$176:$W$176,1,MATCH($B$3,NORMATIVOS!$C$1:$W$1,0))="Consolidado")+--(INDEX(NORMATIVOS!$C$177:$W$177,1,MATCH($B$3,NORMATIVOS!$C$1:$W$1,0))="Consolidado")+--(INDEX(NORMATIVOS!$C$178:$W$178,1,MATCH($B$3,NORMATIVOS!$C$1:$W$1,0))="Consolidado")+--(INDEX(NORMATIVOS!$C$179:$W$179,1,MATCH($B$3,NORMATIVOS!$C$1:$W$1,0))="Consolidado")+--(INDEX(NORMATIVOS!$C$180:$W$180,1,MATCH($B$3,NORMATIVOS!$C$1:$W$1,0))="Consolidado")+--(INDEX(NORMATIVOS!$C$181:$W$181,1,MATCH($B$3,NORMATIVOS!$C$1:$W$1,0))="Consolidado")+--(INDEX(NORMATIVOS!$C$182:$W$182,1,MATCH($B$3,NORMATIVOS!$C$1:$W$1,0))="Consolidado")+--(INDEX(NORMATIVOS!$C$183:$W$183,1,MATCH($B$3,NORMATIVOS!$C$1:$W$1,0))="Consolidado")+--(INDEX(NORMATIVOS!$C$184:$W$184,1,MATCH($B$3,NORMATIVOS!$C$1:$W$1,0))="Consolidado")+--(INDEX(NORMATIVOS!$C$185:$W$185,1,MATCH($B$3,NORMATIVOS!$C$1:$W$1,0))="Consolidado")+--(INDEX(NORMATIVOS!$C$186:$W$186,1,MATCH($B$3,NORMATIVOS!$C$1:$W$1,0))="Consolidado")+--(INDEX(NORMATIVOS!$C$187:$W$187,1,MATCH($B$3,NORMATIVOS!$C$1:$W$1,0))="Consolidado")+--(INDEX(NORMATIVOS!$C$188:$W$188,1,MATCH($B$3,NORMATIVOS!$C$1:$W$1,0))="Consolidado")+--(INDEX(NORMATIVOS!$C$189:$W$189,1,MATCH($B$3,NORMATIVOS!$C$1:$W$1,0))="Consolidado")+--(INDEX(NORMATIVOS!$C$190:$W$190,1,MATCH($B$3,NORMATIVOS!$C$1:$W$1,0))="Consolidado")+--(INDEX(NORMATIVOS!$C$191:$W$191,1,MATCH($B$3,NORMATIVOS!$C$1:$W$1,0))="Consolidado")+--(INDEX(NORMATIVOS!$C$192:$W$192,1,MATCH($B$3,NORMATIVOS!$C$1:$W$1,0))="Consolidado")</f>
        <v>0</v>
      </c>
      <c r="F17">
        <f>--(INDEX(NORMATIVOS!$C$175:$W$175,1,MATCH($B$3,NORMATIVOS!$C$1:$W$1,0))="En proceso")+--(INDEX(NORMATIVOS!$C$176:$W$176,1,MATCH($B$3,NORMATIVOS!$C$1:$W$1,0))="En proceso")+--(INDEX(NORMATIVOS!$C$177:$W$177,1,MATCH($B$3,NORMATIVOS!$C$1:$W$1,0))="En proceso")+--(INDEX(NORMATIVOS!$C$178:$W$178,1,MATCH($B$3,NORMATIVOS!$C$1:$W$1,0))="En proceso")+--(INDEX(NORMATIVOS!$C$179:$W$179,1,MATCH($B$3,NORMATIVOS!$C$1:$W$1,0))="En proceso")+--(INDEX(NORMATIVOS!$C$180:$W$180,1,MATCH($B$3,NORMATIVOS!$C$1:$W$1,0))="En proceso")+--(INDEX(NORMATIVOS!$C$181:$W$181,1,MATCH($B$3,NORMATIVOS!$C$1:$W$1,0))="En proceso")+--(INDEX(NORMATIVOS!$C$182:$W$182,1,MATCH($B$3,NORMATIVOS!$C$1:$W$1,0))="En proceso")+--(INDEX(NORMATIVOS!$C$183:$W$183,1,MATCH($B$3,NORMATIVOS!$C$1:$W$1,0))="En proceso")+--(INDEX(NORMATIVOS!$C$184:$W$184,1,MATCH($B$3,NORMATIVOS!$C$1:$W$1,0))="En proceso")+--(INDEX(NORMATIVOS!$C$185:$W$185,1,MATCH($B$3,NORMATIVOS!$C$1:$W$1,0))="En proceso")+--(INDEX(NORMATIVOS!$C$186:$W$186,1,MATCH($B$3,NORMATIVOS!$C$1:$W$1,0))="En proceso")+--(INDEX(NORMATIVOS!$C$187:$W$187,1,MATCH($B$3,NORMATIVOS!$C$1:$W$1,0))="En proceso")+--(INDEX(NORMATIVOS!$C$188:$W$188,1,MATCH($B$3,NORMATIVOS!$C$1:$W$1,0))="En proceso")+--(INDEX(NORMATIVOS!$C$189:$W$189,1,MATCH($B$3,NORMATIVOS!$C$1:$W$1,0))="En proceso")+--(INDEX(NORMATIVOS!$C$190:$W$190,1,MATCH($B$3,NORMATIVOS!$C$1:$W$1,0))="En proceso")+--(INDEX(NORMATIVOS!$C$191:$W$191,1,MATCH($B$3,NORMATIVOS!$C$1:$W$1,0))="En proceso")+--(INDEX(NORMATIVOS!$C$192:$W$192,1,MATCH($B$3,NORMATIVOS!$C$1:$W$1,0))="En proceso")</f>
        <v>0</v>
      </c>
      <c r="G17">
        <f>--(INDEX(NORMATIVOS!$C$175:$W$175,1,MATCH($B$3,NORMATIVOS!$C$1:$W$1,0))="Proyección")+--(INDEX(NORMATIVOS!$C$176:$W$176,1,MATCH($B$3,NORMATIVOS!$C$1:$W$1,0))="Proyección")+--(INDEX(NORMATIVOS!$C$177:$W$177,1,MATCH($B$3,NORMATIVOS!$C$1:$W$1,0))="Proyección")+--(INDEX(NORMATIVOS!$C$178:$W$178,1,MATCH($B$3,NORMATIVOS!$C$1:$W$1,0))="Proyección")+--(INDEX(NORMATIVOS!$C$179:$W$179,1,MATCH($B$3,NORMATIVOS!$C$1:$W$1,0))="Proyección")+--(INDEX(NORMATIVOS!$C$180:$W$180,1,MATCH($B$3,NORMATIVOS!$C$1:$W$1,0))="Proyección")+--(INDEX(NORMATIVOS!$C$181:$W$181,1,MATCH($B$3,NORMATIVOS!$C$1:$W$1,0))="Proyección")+--(INDEX(NORMATIVOS!$C$182:$W$182,1,MATCH($B$3,NORMATIVOS!$C$1:$W$1,0))="Proyección")+--(INDEX(NORMATIVOS!$C$183:$W$183,1,MATCH($B$3,NORMATIVOS!$C$1:$W$1,0))="Proyección")+--(INDEX(NORMATIVOS!$C$184:$W$184,1,MATCH($B$3,NORMATIVOS!$C$1:$W$1,0))="Proyección")+--(INDEX(NORMATIVOS!$C$185:$W$185,1,MATCH($B$3,NORMATIVOS!$C$1:$W$1,0))="Proyección")+--(INDEX(NORMATIVOS!$C$186:$W$186,1,MATCH($B$3,NORMATIVOS!$C$1:$W$1,0))="Proyección")+--(INDEX(NORMATIVOS!$C$187:$W$187,1,MATCH($B$3,NORMATIVOS!$C$1:$W$1,0))="Proyección")+--(INDEX(NORMATIVOS!$C$188:$W$188,1,MATCH($B$3,NORMATIVOS!$C$1:$W$1,0))="Proyección")+--(INDEX(NORMATIVOS!$C$189:$W$189,1,MATCH($B$3,NORMATIVOS!$C$1:$W$1,0))="Proyección")+--(INDEX(NORMATIVOS!$C$190:$W$190,1,MATCH($B$3,NORMATIVOS!$C$1:$W$1,0))="Proyección")+--(INDEX(NORMATIVOS!$C$191:$W$191,1,MATCH($B$3,NORMATIVOS!$C$1:$W$1,0))="Proyección")+--(INDEX(NORMATIVOS!$C$192:$W$192,1,MATCH($B$3,NORMATIVOS!$C$1:$W$1,0))="Proyección")</f>
        <v>18</v>
      </c>
      <c r="H17" s="15">
        <f t="shared" si="0"/>
        <v>0</v>
      </c>
    </row>
    <row r="18" spans="1:8" x14ac:dyDescent="0.2">
      <c r="D18" t="s">
        <v>24</v>
      </c>
      <c r="E18">
        <f>--(INDEX(NORMATIVOS!$C$193:$W$193,1,MATCH($B$3,NORMATIVOS!$C$1:$W$1,0))="Consolidado")+--(INDEX(NORMATIVOS!$C$194:$W$194,1,MATCH($B$3,NORMATIVOS!$C$1:$W$1,0))="Consolidado")+--(INDEX(NORMATIVOS!$C$195:$W$195,1,MATCH($B$3,NORMATIVOS!$C$1:$W$1,0))="Consolidado")+--(INDEX(NORMATIVOS!$C$196:$W$196,1,MATCH($B$3,NORMATIVOS!$C$1:$W$1,0))="Consolidado")+--(INDEX(NORMATIVOS!$C$197:$W$197,1,MATCH($B$3,NORMATIVOS!$C$1:$W$1,0))="Consolidado")+--(INDEX(NORMATIVOS!$C$198:$W$198,1,MATCH($B$3,NORMATIVOS!$C$1:$W$1,0))="Consolidado")+--(INDEX(NORMATIVOS!$C$199:$W$199,1,MATCH($B$3,NORMATIVOS!$C$1:$W$1,0))="Consolidado")+--(INDEX(NORMATIVOS!$C$200:$W$200,1,MATCH($B$3,NORMATIVOS!$C$1:$W$1,0))="Consolidado")+--(INDEX(NORMATIVOS!$C$201:$W$201,1,MATCH($B$3,NORMATIVOS!$C$1:$W$1,0))="Consolidado")+--(INDEX(NORMATIVOS!$C$202:$W$202,1,MATCH($B$3,NORMATIVOS!$C$1:$W$1,0))="Consolidado")+--(INDEX(NORMATIVOS!$C$203:$W$203,1,MATCH($B$3,NORMATIVOS!$C$1:$W$1,0))="Consolidado")+--(INDEX(NORMATIVOS!$C$204:$W$204,1,MATCH($B$3,NORMATIVOS!$C$1:$W$1,0))="Consolidado")+--(INDEX(NORMATIVOS!$C$205:$W$205,1,MATCH($B$3,NORMATIVOS!$C$1:$W$1,0))="Consolidado")+--(INDEX(NORMATIVOS!$C$206:$W$206,1,MATCH($B$3,NORMATIVOS!$C$1:$W$1,0))="Consolidado")+--(INDEX(NORMATIVOS!$C$207:$W$207,1,MATCH($B$3,NORMATIVOS!$C$1:$W$1,0))="Consolidado")+--(INDEX(NORMATIVOS!$C$208:$W$208,1,MATCH($B$3,NORMATIVOS!$C$1:$W$1,0))="Consolidado")+--(INDEX(NORMATIVOS!$C$209:$W$209,1,MATCH($B$3,NORMATIVOS!$C$1:$W$1,0))="Consolidado")+--(INDEX(NORMATIVOS!$C$210:$W$210,1,MATCH($B$3,NORMATIVOS!$C$1:$W$1,0))="Consolidado")+--(INDEX(NORMATIVOS!$C$211:$W$211,1,MATCH($B$3,NORMATIVOS!$C$1:$W$1,0))="Consolidado")+--(INDEX(NORMATIVOS!$C$212:$W$212,1,MATCH($B$3,NORMATIVOS!$C$1:$W$1,0))="Consolidado")+--(INDEX(NORMATIVOS!$C$213:$W$213,1,MATCH($B$3,NORMATIVOS!$C$1:$W$1,0))="Consolidado")+--(INDEX(NORMATIVOS!$C$214:$W$214,1,MATCH($B$3,NORMATIVOS!$C$1:$W$1,0))="Consolidado")+--(INDEX(NORMATIVOS!$C$215:$W$215,1,MATCH($B$3,NORMATIVOS!$C$1:$W$1,0))="Consolidado")+--(INDEX(NORMATIVOS!$C$216:$W$216,1,MATCH($B$3,NORMATIVOS!$C$1:$W$1,0))="Consolidado")</f>
        <v>0</v>
      </c>
      <c r="F18">
        <f>--(INDEX(NORMATIVOS!$C$193:$W$193,1,MATCH($B$3,NORMATIVOS!$C$1:$W$1,0))="En proceso")+--(INDEX(NORMATIVOS!$C$194:$W$194,1,MATCH($B$3,NORMATIVOS!$C$1:$W$1,0))="En proceso")+--(INDEX(NORMATIVOS!$C$195:$W$195,1,MATCH($B$3,NORMATIVOS!$C$1:$W$1,0))="En proceso")+--(INDEX(NORMATIVOS!$C$196:$W$196,1,MATCH($B$3,NORMATIVOS!$C$1:$W$1,0))="En proceso")+--(INDEX(NORMATIVOS!$C$197:$W$197,1,MATCH($B$3,NORMATIVOS!$C$1:$W$1,0))="En proceso")+--(INDEX(NORMATIVOS!$C$198:$W$198,1,MATCH($B$3,NORMATIVOS!$C$1:$W$1,0))="En proceso")+--(INDEX(NORMATIVOS!$C$199:$W$199,1,MATCH($B$3,NORMATIVOS!$C$1:$W$1,0))="En proceso")+--(INDEX(NORMATIVOS!$C$200:$W$200,1,MATCH($B$3,NORMATIVOS!$C$1:$W$1,0))="En proceso")+--(INDEX(NORMATIVOS!$C$201:$W$201,1,MATCH($B$3,NORMATIVOS!$C$1:$W$1,0))="En proceso")+--(INDEX(NORMATIVOS!$C$202:$W$202,1,MATCH($B$3,NORMATIVOS!$C$1:$W$1,0))="En proceso")+--(INDEX(NORMATIVOS!$C$203:$W$203,1,MATCH($B$3,NORMATIVOS!$C$1:$W$1,0))="En proceso")+--(INDEX(NORMATIVOS!$C$204:$W$204,1,MATCH($B$3,NORMATIVOS!$C$1:$W$1,0))="En proceso")+--(INDEX(NORMATIVOS!$C$205:$W$205,1,MATCH($B$3,NORMATIVOS!$C$1:$W$1,0))="En proceso")+--(INDEX(NORMATIVOS!$C$206:$W$206,1,MATCH($B$3,NORMATIVOS!$C$1:$W$1,0))="En proceso")+--(INDEX(NORMATIVOS!$C$207:$W$207,1,MATCH($B$3,NORMATIVOS!$C$1:$W$1,0))="En proceso")+--(INDEX(NORMATIVOS!$C$208:$W$208,1,MATCH($B$3,NORMATIVOS!$C$1:$W$1,0))="En proceso")+--(INDEX(NORMATIVOS!$C$209:$W$209,1,MATCH($B$3,NORMATIVOS!$C$1:$W$1,0))="En proceso")+--(INDEX(NORMATIVOS!$C$210:$W$210,1,MATCH($B$3,NORMATIVOS!$C$1:$W$1,0))="En proceso")+--(INDEX(NORMATIVOS!$C$211:$W$211,1,MATCH($B$3,NORMATIVOS!$C$1:$W$1,0))="En proceso")+--(INDEX(NORMATIVOS!$C$212:$W$212,1,MATCH($B$3,NORMATIVOS!$C$1:$W$1,0))="En proceso")+--(INDEX(NORMATIVOS!$C$213:$W$213,1,MATCH($B$3,NORMATIVOS!$C$1:$W$1,0))="En proceso")+--(INDEX(NORMATIVOS!$C$214:$W$214,1,MATCH($B$3,NORMATIVOS!$C$1:$W$1,0))="En proceso")+--(INDEX(NORMATIVOS!$C$215:$W$215,1,MATCH($B$3,NORMATIVOS!$C$1:$W$1,0))="En proceso")+--(INDEX(NORMATIVOS!$C$216:$W$216,1,MATCH($B$3,NORMATIVOS!$C$1:$W$1,0))="En proceso")</f>
        <v>0</v>
      </c>
      <c r="G18">
        <f>--(INDEX(NORMATIVOS!$C$193:$W$193,1,MATCH($B$3,NORMATIVOS!$C$1:$W$1,0))="Proyección")+--(INDEX(NORMATIVOS!$C$194:$W$194,1,MATCH($B$3,NORMATIVOS!$C$1:$W$1,0))="Proyección")+--(INDEX(NORMATIVOS!$C$195:$W$195,1,MATCH($B$3,NORMATIVOS!$C$1:$W$1,0))="Proyección")+--(INDEX(NORMATIVOS!$C$196:$W$196,1,MATCH($B$3,NORMATIVOS!$C$1:$W$1,0))="Proyección")+--(INDEX(NORMATIVOS!$C$197:$W$197,1,MATCH($B$3,NORMATIVOS!$C$1:$W$1,0))="Proyección")+--(INDEX(NORMATIVOS!$C$198:$W$198,1,MATCH($B$3,NORMATIVOS!$C$1:$W$1,0))="Proyección")+--(INDEX(NORMATIVOS!$C$199:$W$199,1,MATCH($B$3,NORMATIVOS!$C$1:$W$1,0))="Proyección")+--(INDEX(NORMATIVOS!$C$200:$W$200,1,MATCH($B$3,NORMATIVOS!$C$1:$W$1,0))="Proyección")+--(INDEX(NORMATIVOS!$C$201:$W$201,1,MATCH($B$3,NORMATIVOS!$C$1:$W$1,0))="Proyección")+--(INDEX(NORMATIVOS!$C$202:$W$202,1,MATCH($B$3,NORMATIVOS!$C$1:$W$1,0))="Proyección")+--(INDEX(NORMATIVOS!$C$203:$W$203,1,MATCH($B$3,NORMATIVOS!$C$1:$W$1,0))="Proyección")+--(INDEX(NORMATIVOS!$C$204:$W$204,1,MATCH($B$3,NORMATIVOS!$C$1:$W$1,0))="Proyección")+--(INDEX(NORMATIVOS!$C$205:$W$205,1,MATCH($B$3,NORMATIVOS!$C$1:$W$1,0))="Proyección")+--(INDEX(NORMATIVOS!$C$206:$W$206,1,MATCH($B$3,NORMATIVOS!$C$1:$W$1,0))="Proyección")+--(INDEX(NORMATIVOS!$C$207:$W$207,1,MATCH($B$3,NORMATIVOS!$C$1:$W$1,0))="Proyección")+--(INDEX(NORMATIVOS!$C$208:$W$208,1,MATCH($B$3,NORMATIVOS!$C$1:$W$1,0))="Proyección")+--(INDEX(NORMATIVOS!$C$209:$W$209,1,MATCH($B$3,NORMATIVOS!$C$1:$W$1,0))="Proyección")+--(INDEX(NORMATIVOS!$C$210:$W$210,1,MATCH($B$3,NORMATIVOS!$C$1:$W$1,0))="Proyección")+--(INDEX(NORMATIVOS!$C$211:$W$211,1,MATCH($B$3,NORMATIVOS!$C$1:$W$1,0))="Proyección")+--(INDEX(NORMATIVOS!$C$212:$W$212,1,MATCH($B$3,NORMATIVOS!$C$1:$W$1,0))="Proyección")+--(INDEX(NORMATIVOS!$C$213:$W$213,1,MATCH($B$3,NORMATIVOS!$C$1:$W$1,0))="Proyección")+--(INDEX(NORMATIVOS!$C$214:$W$214,1,MATCH($B$3,NORMATIVOS!$C$1:$W$1,0))="Proyección")+--(INDEX(NORMATIVOS!$C$215:$W$215,1,MATCH($B$3,NORMATIVOS!$C$1:$W$1,0))="Proyección")+--(INDEX(NORMATIVOS!$C$216:$W$216,1,MATCH($B$3,NORMATIVOS!$C$1:$W$1,0))="Proyección")</f>
        <v>24</v>
      </c>
      <c r="H18" s="15">
        <f t="shared" si="0"/>
        <v>0</v>
      </c>
    </row>
    <row r="19" spans="1:8" x14ac:dyDescent="0.2">
      <c r="D19" t="s">
        <v>25</v>
      </c>
      <c r="E19">
        <f>--(INDEX(NORMATIVOS!$C$217:$N$217,1,MATCH($B$3,NORMATIVOS!$C$1:$W$1,0))="Consolidado")+--(INDEX(NORMATIVOS!$C$218:$W$218,1,MATCH($B$3,NORMATIVOS!$C$1:$W$1,0))="Consolidado")+--(INDEX(NORMATIVOS!$C$219:$W$219,1,MATCH($B$3,NORMATIVOS!$C$1:$W$1,0))="Consolidado")+--(INDEX(NORMATIVOS!$C$220:$W$220,1,MATCH($B$3,NORMATIVOS!$C$1:$W$1,0))="Consolidado")+--(INDEX(NORMATIVOS!$C$221:$W$221,1,MATCH($B$3,NORMATIVOS!$C$1:$W$1,0))="Consolidado")+--(INDEX(NORMATIVOS!$C$222:$W$222,1,MATCH($B$3,NORMATIVOS!$C$1:$W$1,0))="Consolidado")+--(INDEX(NORMATIVOS!$C$223:$W$223,1,MATCH($B$3,NORMATIVOS!$C$1:$W$1,0))="Consolidado")+--(INDEX(NORMATIVOS!$C$224:$W$224,1,MATCH($B$3,NORMATIVOS!$C$1:$W$1,0))="Consolidado")+--(INDEX(NORMATIVOS!$C$225:$W$225,1,MATCH($B$3,NORMATIVOS!$C$1:$W$1,0))="Consolidado")+--(INDEX(NORMATIVOS!$C$226:$W$226,1,MATCH($B$3,NORMATIVOS!$C$1:$W$1,0))="Consolidado")+--(INDEX(NORMATIVOS!$C$227:$W$227,1,MATCH($B$3,NORMATIVOS!$C$1:$W$1,0))="Consolidado")+--(INDEX(NORMATIVOS!$C$228:$W$228,1,MATCH($B$3,NORMATIVOS!$C$1:$W$1,0))="Consolidado")+--(INDEX(NORMATIVOS!$C$229:$W$229,1,MATCH($B$3,NORMATIVOS!$C$1:$W$1,0))="Consolidado")</f>
        <v>0</v>
      </c>
      <c r="F19">
        <f>--(INDEX(NORMATIVOS!$C$217:$N$217,1,MATCH($B$3,NORMATIVOS!$C$1:$W$1,0))="En proceso")+--(INDEX(NORMATIVOS!$C$218:$W$218,1,MATCH($B$3,NORMATIVOS!$C$1:$W$1,0))="En proceso")+--(INDEX(NORMATIVOS!$C$219:$W$219,1,MATCH($B$3,NORMATIVOS!$C$1:$W$1,0))="En proceso")+--(INDEX(NORMATIVOS!$C$220:$W$220,1,MATCH($B$3,NORMATIVOS!$C$1:$W$1,0))="En proceso")+--(INDEX(NORMATIVOS!$C$221:$W$221,1,MATCH($B$3,NORMATIVOS!$C$1:$W$1,0))="En proceso")+--(INDEX(NORMATIVOS!$C$222:$W$222,1,MATCH($B$3,NORMATIVOS!$C$1:$W$1,0))="En proceso")+--(INDEX(NORMATIVOS!$C$223:$W$223,1,MATCH($B$3,NORMATIVOS!$C$1:$W$1,0))="En proceso")+--(INDEX(NORMATIVOS!$C$224:$W$224,1,MATCH($B$3,NORMATIVOS!$C$1:$W$1,0))="En proceso")+--(INDEX(NORMATIVOS!$C$225:$W$225,1,MATCH($B$3,NORMATIVOS!$C$1:$W$1,0))="En proceso")+--(INDEX(NORMATIVOS!$C$226:$W$226,1,MATCH($B$3,NORMATIVOS!$C$1:$W$1,0))="En proceso")+--(INDEX(NORMATIVOS!$C$227:$W$227,1,MATCH($B$3,NORMATIVOS!$C$1:$W$1,0))="En proceso")+--(INDEX(NORMATIVOS!$C$228:$W$228,1,MATCH($B$3,NORMATIVOS!$C$1:$W$1,0))="En proceso")+--(INDEX(NORMATIVOS!$C$229:$W$229,1,MATCH($B$3,NORMATIVOS!$C$1:$W$1,0))="En proceso")</f>
        <v>0</v>
      </c>
      <c r="G19">
        <f>--(INDEX(NORMATIVOS!$C$217:$N$217,1,MATCH($B$3,NORMATIVOS!$C$1:$W$1,0))="Proyección")+--(INDEX(NORMATIVOS!$C$218:$W$218,1,MATCH($B$3,NORMATIVOS!$C$1:$W$1,0))="Proyección")+--(INDEX(NORMATIVOS!$C$219:$W$219,1,MATCH($B$3,NORMATIVOS!$C$1:$W$1,0))="Proyección")+--(INDEX(NORMATIVOS!$C$220:$W$220,1,MATCH($B$3,NORMATIVOS!$C$1:$W$1,0))="Proyección")+--(INDEX(NORMATIVOS!$C$221:$W$221,1,MATCH($B$3,NORMATIVOS!$C$1:$W$1,0))="Proyección")+--(INDEX(NORMATIVOS!$C$222:$W$222,1,MATCH($B$3,NORMATIVOS!$C$1:$W$1,0))="Proyección")+--(INDEX(NORMATIVOS!$C$223:$W$223,1,MATCH($B$3,NORMATIVOS!$C$1:$W$1,0))="Proyección")+--(INDEX(NORMATIVOS!$C$224:$W$224,1,MATCH($B$3,NORMATIVOS!$C$1:$W$1,0))="Proyección")+--(INDEX(NORMATIVOS!$C$225:$W$225,1,MATCH($B$3,NORMATIVOS!$C$1:$W$1,0))="Proyección")+--(INDEX(NORMATIVOS!$C$226:$W$226,1,MATCH($B$3,NORMATIVOS!$C$1:$W$1,0))="Proyección")+--(INDEX(NORMATIVOS!$C$227:$W$227,1,MATCH($B$3,NORMATIVOS!$C$1:$W$1,0))="Proyección")+--(INDEX(NORMATIVOS!$C$228:$W$228,1,MATCH($B$3,NORMATIVOS!$C$1:$W$1,0))="Proyección")+--(INDEX(NORMATIVOS!$C$229:$W$229,1,MATCH($B$3,NORMATIVOS!$C$1:$W$1,0))="Proyección")</f>
        <v>13</v>
      </c>
      <c r="H19" s="15">
        <f t="shared" si="0"/>
        <v>0</v>
      </c>
    </row>
    <row r="20" spans="1:8" x14ac:dyDescent="0.2">
      <c r="D20" t="s">
        <v>26</v>
      </c>
      <c r="E20">
        <f>--(INDEX(NORMATIVOS!$C$232:$W$232,1,MATCH($B$3,NORMATIVOS!$C$1:$W$1,0))="Consolidado")+--(INDEX(NORMATIVOS!$C$233:$W$233,1,MATCH($B$3,NORMATIVOS!$C$1:$W$1,0))="Consolidado")+--(INDEX(NORMATIVOS!$C$234:$W$234,1,MATCH($B$3,NORMATIVOS!$C$1:$W$1,0))="Consolidado")+--(INDEX(NORMATIVOS!$C$235:$W$235,1,MATCH($B$3,NORMATIVOS!$C$1:$W$1,0))="Consolidado")+--(INDEX(NORMATIVOS!$C$236:$W$236,1,MATCH($B$3,NORMATIVOS!$C$1:$W$1,0))="Consolidado")+--(INDEX(NORMATIVOS!$C$237:$W$237,1,MATCH($B$3,NORMATIVOS!$C$1:$W$1,0))="Consolidado")+--(INDEX(NORMATIVOS!$C$238:$W$238,1,MATCH($B$3,NORMATIVOS!$C$1:$W$1,0))="Consolidado")+--(INDEX(NORMATIVOS!$C$239:$W$239,1,MATCH($B$3,NORMATIVOS!$C$1:$W$1,0))="Consolidado")+--(INDEX(NORMATIVOS!$C$240:$W$240,1,MATCH($B$3,NORMATIVOS!$C$1:$W$1,0))="Consolidado")+--(INDEX(NORMATIVOS!$C$241:$W$241,1,MATCH($B$3,NORMATIVOS!$C$1:$W$1,0))="Consolidado")+--(INDEX(NORMATIVOS!$C$242:$W$242,1,MATCH($B$3,NORMATIVOS!$C$1:$W$1,0))="Consolidado")+--(INDEX(NORMATIVOS!$C$243:$W$243,1,MATCH($B$3,NORMATIVOS!$C$1:$W$1,0))="Consolidado")+--(INDEX(NORMATIVOS!$C$244:$W$244,1,MATCH($B$3,NORMATIVOS!$C$1:$W$1,0))="Consolidado")+--(INDEX(NORMATIVOS!$C$245:$W$245,1,MATCH($B$3,NORMATIVOS!$C$1:$W$1,0))="Consolidado")+--(INDEX(NORMATIVOS!$C$246:$W$246,1,MATCH($B$3,NORMATIVOS!$C$1:$W$1,0))="Consolidado")+--(INDEX(NORMATIVOS!$C$247:$W$247,1,MATCH($B$3,NORMATIVOS!$C$1:$W$1,0))="Consolidado")+--(INDEX(NORMATIVOS!$C$248:$W$248,1,MATCH($B$3,NORMATIVOS!$C$1:$W$1,0))="Consolidado")+--(INDEX(NORMATIVOS!$C$249:$W$249,1,MATCH($B$3,NORMATIVOS!$C$1:$W$1,0))="Consolidado")+--(INDEX(NORMATIVOS!$C$250:$W$250,1,MATCH($B$3,NORMATIVOS!$C$1:$W$1,0))="Consolidado")+--(INDEX(NORMATIVOS!$C$251:$W$251,1,MATCH($B$3,NORMATIVOS!$C$1:$W$1,0))="Consolidado")+--(INDEX(NORMATIVOS!$C$252:$W$252,1,MATCH($B$3,NORMATIVOS!$C$1:$W$1,0))="Consolidado")+--(INDEX(NORMATIVOS!$C$253:$W$253,1,MATCH($B$3,NORMATIVOS!$C$1:$W$1,0))="Consolidado")+--(INDEX(NORMATIVOS!$C$254:$W$254,1,MATCH($B$3,NORMATIVOS!$C$1:$W$1,0))="Consolidado")+--(INDEX(NORMATIVOS!$C$255:$W$255,1,MATCH($B$3,NORMATIVOS!$C$1:$W$1,0))="Consolidado")+--(INDEX(NORMATIVOS!$C$256:$W$256,1,MATCH($B$3,NORMATIVOS!$C$1:$W$1,0))="Consolidado")+--(INDEX(NORMATIVOS!$C$257:$W$257,1,MATCH($B$3,NORMATIVOS!$C$1:$W$1,0))="Consolidado")+--(INDEX(NORMATIVOS!$C$258:$W$258,1,MATCH($B$3,NORMATIVOS!$C$1:$W$1,0))="Consolidado")+--(INDEX(NORMATIVOS!$C$259:$W$259,1,MATCH($B$3,NORMATIVOS!$C$1:$W$1,0))="Consolidado")</f>
        <v>0</v>
      </c>
      <c r="F20">
        <f>--(INDEX(NORMATIVOS!$C$232:$W$232,1,MATCH($B$3,NORMATIVOS!$C$1:$W$1,0))="En proceso")+--(INDEX(NORMATIVOS!$C$233:$W$233,1,MATCH($B$3,NORMATIVOS!$C$1:$W$1,0))="En proceso")+--(INDEX(NORMATIVOS!$C$234:$W$234,1,MATCH($B$3,NORMATIVOS!$C$1:$W$1,0))="En proceso")+--(INDEX(NORMATIVOS!$C$235:$W$235,1,MATCH($B$3,NORMATIVOS!$C$1:$W$1,0))="En proceso")+--(INDEX(NORMATIVOS!$C$236:$W$236,1,MATCH($B$3,NORMATIVOS!$C$1:$W$1,0))="En proceso")+--(INDEX(NORMATIVOS!$C$237:$W$237,1,MATCH($B$3,NORMATIVOS!$C$1:$W$1,0))="En proceso")+--(INDEX(NORMATIVOS!$C$238:$W$238,1,MATCH($B$3,NORMATIVOS!$C$1:$W$1,0))="En proceso")+--(INDEX(NORMATIVOS!$C$239:$W$239,1,MATCH($B$3,NORMATIVOS!$C$1:$W$1,0))="En proceso")+--(INDEX(NORMATIVOS!$C$240:$W$240,1,MATCH($B$3,NORMATIVOS!$C$1:$W$1,0))="En proceso")+--(INDEX(NORMATIVOS!$C$241:$W$241,1,MATCH($B$3,NORMATIVOS!$C$1:$W$1,0))="En proceso")+--(INDEX(NORMATIVOS!$C$242:$W$242,1,MATCH($B$3,NORMATIVOS!$C$1:$W$1,0))="En proceso")+--(INDEX(NORMATIVOS!$C$243:$W$243,1,MATCH($B$3,NORMATIVOS!$C$1:$W$1,0))="En proceso")+--(INDEX(NORMATIVOS!$C$244:$W$244,1,MATCH($B$3,NORMATIVOS!$C$1:$W$1,0))="En proceso")+--(INDEX(NORMATIVOS!$C$245:$W$245,1,MATCH($B$3,NORMATIVOS!$C$1:$W$1,0))="En proceso")+--(INDEX(NORMATIVOS!$C$246:$W$246,1,MATCH($B$3,NORMATIVOS!$C$1:$W$1,0))="En proceso")+--(INDEX(NORMATIVOS!$C$247:$W$247,1,MATCH($B$3,NORMATIVOS!$C$1:$W$1,0))="En proceso")+--(INDEX(NORMATIVOS!$C$248:$W$248,1,MATCH($B$3,NORMATIVOS!$C$1:$W$1,0))="En proceso")+--(INDEX(NORMATIVOS!$C$249:$W$249,1,MATCH($B$3,NORMATIVOS!$C$1:$W$1,0))="En proceso")+--(INDEX(NORMATIVOS!$C$250:$W$250,1,MATCH($B$3,NORMATIVOS!$C$1:$W$1,0))="En proceso")+--(INDEX(NORMATIVOS!$C$251:$W$251,1,MATCH($B$3,NORMATIVOS!$C$1:$W$1,0))="En proceso")+--(INDEX(NORMATIVOS!$C$252:$W$252,1,MATCH($B$3,NORMATIVOS!$C$1:$W$1,0))="En proceso")+--(INDEX(NORMATIVOS!$C$253:$W$253,1,MATCH($B$3,NORMATIVOS!$C$1:$W$1,0))="En proceso")+--(INDEX(NORMATIVOS!$C$254:$W$254,1,MATCH($B$3,NORMATIVOS!$C$1:$W$1,0))="En proceso")+--(INDEX(NORMATIVOS!$C$255:$W$255,1,MATCH($B$3,NORMATIVOS!$C$1:$W$1,0))="En proceso")+--(INDEX(NORMATIVOS!$C$256:$W$256,1,MATCH($B$3,NORMATIVOS!$C$1:$W$1,0))="En proceso")+--(INDEX(NORMATIVOS!$C$257:$W$257,1,MATCH($B$3,NORMATIVOS!$C$1:$W$1,0))="En proceso")+--(INDEX(NORMATIVOS!$C$258:$W$258,1,MATCH($B$3,NORMATIVOS!$C$1:$W$1,0))="En proceso")+--(INDEX(NORMATIVOS!$C$259:$W$259,1,MATCH($B$3,NORMATIVOS!$C$1:$W$1,0))="En proceso")</f>
        <v>0</v>
      </c>
      <c r="G20">
        <f>--(INDEX(NORMATIVOS!$C$232:$W$232,1,MATCH($B$3,NORMATIVOS!$C$1:$W$1,0))="Proyección")+--(INDEX(NORMATIVOS!$C$233:$W$233,1,MATCH($B$3,NORMATIVOS!$C$1:$W$1,0))="Proyección")+--(INDEX(NORMATIVOS!$C$234:$W$234,1,MATCH($B$3,NORMATIVOS!$C$1:$W$1,0))="Proyección")+--(INDEX(NORMATIVOS!$C$235:$W$235,1,MATCH($B$3,NORMATIVOS!$C$1:$W$1,0))="Proyección")+--(INDEX(NORMATIVOS!$C$236:$W$236,1,MATCH($B$3,NORMATIVOS!$C$1:$W$1,0))="Proyección")+--(INDEX(NORMATIVOS!$C$237:$W$237,1,MATCH($B$3,NORMATIVOS!$C$1:$W$1,0))="Proyección")+--(INDEX(NORMATIVOS!$C$238:$W$238,1,MATCH($B$3,NORMATIVOS!$C$1:$W$1,0))="Proyección")+--(INDEX(NORMATIVOS!$C$239:$W$239,1,MATCH($B$3,NORMATIVOS!$C$1:$W$1,0))="Proyección")+--(INDEX(NORMATIVOS!$C$240:$W$240,1,MATCH($B$3,NORMATIVOS!$C$1:$W$1,0))="Proyección")+--(INDEX(NORMATIVOS!$C$241:$W$241,1,MATCH($B$3,NORMATIVOS!$C$1:$W$1,0))="Proyección")+--(INDEX(NORMATIVOS!$C$242:$W$242,1,MATCH($B$3,NORMATIVOS!$C$1:$W$1,0))="Proyección")+--(INDEX(NORMATIVOS!$C$243:$W$243,1,MATCH($B$3,NORMATIVOS!$C$1:$W$1,0))="Proyección")+--(INDEX(NORMATIVOS!$C$244:$W$244,1,MATCH($B$3,NORMATIVOS!$C$1:$W$1,0))="Proyección")+--(INDEX(NORMATIVOS!$C$245:$W$245,1,MATCH($B$3,NORMATIVOS!$C$1:$W$1,0))="Proyección")+--(INDEX(NORMATIVOS!$C$246:$W$246,1,MATCH($B$3,NORMATIVOS!$C$1:$W$1,0))="Proyección")+--(INDEX(NORMATIVOS!$C$247:$W$247,1,MATCH($B$3,NORMATIVOS!$C$1:$W$1,0))="Proyección")+--(INDEX(NORMATIVOS!$C$248:$W$248,1,MATCH($B$3,NORMATIVOS!$C$1:$W$1,0))="Proyección")+--(INDEX(NORMATIVOS!$C$249:$W$249,1,MATCH($B$3,NORMATIVOS!$C$1:$W$1,0))="Proyección")+--(INDEX(NORMATIVOS!$C$250:$W$250,1,MATCH($B$3,NORMATIVOS!$C$1:$W$1,0))="Proyección")+--(INDEX(NORMATIVOS!$C$251:$W$251,1,MATCH($B$3,NORMATIVOS!$C$1:$W$1,0))="Proyección")+--(INDEX(NORMATIVOS!$C$252:$W$252,1,MATCH($B$3,NORMATIVOS!$C$1:$W$1,0))="Proyección")+--(INDEX(NORMATIVOS!$C$253:$W$253,1,MATCH($B$3,NORMATIVOS!$C$1:$W$1,0))="Proyección")+--(INDEX(NORMATIVOS!$C$254:$W$254,1,MATCH($B$3,NORMATIVOS!$C$1:$W$1,0))="Proyección")+--(INDEX(NORMATIVOS!$C$255:$W$255,1,MATCH($B$3,NORMATIVOS!$C$1:$W$1,0))="Proyección")+--(INDEX(NORMATIVOS!$C$256:$W$256,1,MATCH($B$3,NORMATIVOS!$C$1:$W$1,0))="Proyección")+--(INDEX(NORMATIVOS!$C$257:$W$257,1,MATCH($B$3,NORMATIVOS!$C$1:$W$1,0))="Proyección")+--(INDEX(NORMATIVOS!$C$258:$W$258,1,MATCH($B$3,NORMATIVOS!$C$1:$W$1,0))="Proyección")+--(INDEX(NORMATIVOS!$C$259:$W$259,1,MATCH($B$3,NORMATIVOS!$C$1:$W$1,0))="Proyección")</f>
        <v>28</v>
      </c>
      <c r="H20" s="15">
        <f t="shared" si="0"/>
        <v>0</v>
      </c>
    </row>
    <row r="21" spans="1:8" x14ac:dyDescent="0.2">
      <c r="D21" t="s">
        <v>27</v>
      </c>
      <c r="E21">
        <f>--(INDEX(NORMATIVOS!$C$260:$W$260,1,MATCH($B$3,NORMATIVOS!$C$1:$W$1,0))="Consolidado")+--(INDEX(NORMATIVOS!$C$261:$W$261,1,MATCH($B$3,NORMATIVOS!$C$1:$W$1,0))="Consolidado")+--(INDEX(NORMATIVOS!$C$262:$W$262,1,MATCH($B$3,NORMATIVOS!$C$1:$W$1,0))="Consolidado")+--(INDEX(NORMATIVOS!$C$263:$W$263,1,MATCH($B$3,NORMATIVOS!$C$1:$W$1,0))="Consolidado")+--(INDEX(NORMATIVOS!$C$264:$W$264,1,MATCH($B$3,NORMATIVOS!$C$1:$W$1,0))="Consolidado")+--(INDEX(NORMATIVOS!$C$265:$W$265,1,MATCH($B$3,NORMATIVOS!$C$1:$W$1,0))="Consolidado")+--(INDEX(NORMATIVOS!$C$266:$W$266,1,MATCH($B$3,NORMATIVOS!$C$1:$W$1,0))="Consolidado")+--(INDEX(NORMATIVOS!$C$267:$W$267,1,MATCH($B$3,NORMATIVOS!$C$1:$W$1,0))="Consolidado")+--(INDEX(NORMATIVOS!$C$268:$W$268,1,MATCH($B$3,NORMATIVOS!$C$1:$W$1,0))="Consolidado")+--(INDEX(NORMATIVOS!$C$269:$W$269,1,MATCH($B$3,NORMATIVOS!$C$1:$W$1,0))="Consolidado")+--(INDEX(NORMATIVOS!$C$270:$W$270,1,MATCH($B$3,NORMATIVOS!$C$1:$W$1,0))="Consolidado")+--(INDEX(NORMATIVOS!$C$271:$W$271,1,MATCH($B$3,NORMATIVOS!$C$1:$W$1,0))="Consolidado")+--(INDEX(NORMATIVOS!$C$272:$W$272,1,MATCH($B$3,NORMATIVOS!$C$1:$W$1,0))="Consolidado")+--(INDEX(NORMATIVOS!$C$273:$W$273,1,MATCH($B$3,NORMATIVOS!$C$1:$W$1,0))="Consolidado")+--(INDEX(NORMATIVOS!$C$274:$W$274,1,MATCH($B$3,NORMATIVOS!$C$1:$W$1,0))="Consolidado")+--(INDEX(NORMATIVOS!$C$275:$W$275,1,MATCH($B$3,NORMATIVOS!$C$1:$W$1,0))="Consolidado")+--(INDEX(NORMATIVOS!$C$276:$W$276,1,MATCH($B$3,NORMATIVOS!$C$1:$W$1,0))="Consolidado")</f>
        <v>0</v>
      </c>
      <c r="F21">
        <f>--(INDEX(NORMATIVOS!$C$260:$W$260,1,MATCH($B$3,NORMATIVOS!$C$1:$W$1,0))="En proceso")+--(INDEX(NORMATIVOS!$C$261:$W$261,1,MATCH($B$3,NORMATIVOS!$C$1:$W$1,0))="En proceso")+--(INDEX(NORMATIVOS!$C$262:$W$262,1,MATCH($B$3,NORMATIVOS!$C$1:$W$1,0))="En proceso")+--(INDEX(NORMATIVOS!$C$263:$W$263,1,MATCH($B$3,NORMATIVOS!$C$1:$W$1,0))="En proceso")+--(INDEX(NORMATIVOS!$C$264:$W$264,1,MATCH($B$3,NORMATIVOS!$C$1:$W$1,0))="En proceso")+--(INDEX(NORMATIVOS!$C$265:$W$265,1,MATCH($B$3,NORMATIVOS!$C$1:$W$1,0))="En proceso")+--(INDEX(NORMATIVOS!$C$266:$W$266,1,MATCH($B$3,NORMATIVOS!$C$1:$W$1,0))="En proceso")+--(INDEX(NORMATIVOS!$C$267:$W$267,1,MATCH($B$3,NORMATIVOS!$C$1:$W$1,0))="En proceso")+--(INDEX(NORMATIVOS!$C$268:$W$268,1,MATCH($B$3,NORMATIVOS!$C$1:$W$1,0))="En proceso")+--(INDEX(NORMATIVOS!$C$269:$W$269,1,MATCH($B$3,NORMATIVOS!$C$1:$W$1,0))="En proceso")+--(INDEX(NORMATIVOS!$C$270:$W$270,1,MATCH($B$3,NORMATIVOS!$C$1:$W$1,0))="En proceso")+--(INDEX(NORMATIVOS!$C$271:$W$271,1,MATCH($B$3,NORMATIVOS!$C$1:$W$1,0))="En proceso")+--(INDEX(NORMATIVOS!$C$272:$W$272,1,MATCH($B$3,NORMATIVOS!$C$1:$W$1,0))="En proceso")+--(INDEX(NORMATIVOS!$C$273:$W$273,1,MATCH($B$3,NORMATIVOS!$C$1:$W$1,0))="En proceso")+--(INDEX(NORMATIVOS!$C$274:$W$274,1,MATCH($B$3,NORMATIVOS!$C$1:$W$1,0))="En proceso")+--(INDEX(NORMATIVOS!$C$275:$W$275,1,MATCH($B$3,NORMATIVOS!$C$1:$W$1,0))="En proceso")+--(INDEX(NORMATIVOS!$C$276:$W$276,1,MATCH($B$3,NORMATIVOS!$C$1:$W$1,0))="En proceso")</f>
        <v>0</v>
      </c>
      <c r="G21">
        <f>--(INDEX(NORMATIVOS!$C$260:$W$260,1,MATCH($B$3,NORMATIVOS!$C$1:$W$1,0))="Proyección")+--(INDEX(NORMATIVOS!$C$261:$W$261,1,MATCH($B$3,NORMATIVOS!$C$1:$W$1,0))="Proyección")+--(INDEX(NORMATIVOS!$C$262:$W$262,1,MATCH($B$3,NORMATIVOS!$C$1:$W$1,0))="Proyección")+--(INDEX(NORMATIVOS!$C$263:$W$263,1,MATCH($B$3,NORMATIVOS!$C$1:$W$1,0))="Proyección")+--(INDEX(NORMATIVOS!$C$264:$W$264,1,MATCH($B$3,NORMATIVOS!$C$1:$W$1,0))="Proyección")+--(INDEX(NORMATIVOS!$C$265:$W$265,1,MATCH($B$3,NORMATIVOS!$C$1:$W$1,0))="Proyección")+--(INDEX(NORMATIVOS!$C$266:$W$266,1,MATCH($B$3,NORMATIVOS!$C$1:$W$1,0))="Proyección")+--(INDEX(NORMATIVOS!$C$267:$W$267,1,MATCH($B$3,NORMATIVOS!$C$1:$W$1,0))="Proyección")+--(INDEX(NORMATIVOS!$C$268:$W$268,1,MATCH($B$3,NORMATIVOS!$C$1:$W$1,0))="Proyección")+--(INDEX(NORMATIVOS!$C$269:$W$269,1,MATCH($B$3,NORMATIVOS!$C$1:$W$1,0))="Proyección")+--(INDEX(NORMATIVOS!$C$270:$W$270,1,MATCH($B$3,NORMATIVOS!$C$1:$W$1,0))="Proyección")+--(INDEX(NORMATIVOS!$C$271:$W$271,1,MATCH($B$3,NORMATIVOS!$C$1:$W$1,0))="Proyección")+--(INDEX(NORMATIVOS!$C$272:$W$272,1,MATCH($B$3,NORMATIVOS!$C$1:$W$1,0))="Proyección")+--(INDEX(NORMATIVOS!$C$273:$W$273,1,MATCH($B$3,NORMATIVOS!$C$1:$W$1,0))="Proyección")+--(INDEX(NORMATIVOS!$C$274:$W$274,1,MATCH($B$3,NORMATIVOS!$C$1:$W$1,0))="Proyección")+--(INDEX(NORMATIVOS!$C$275:$W$275,1,MATCH($B$3,NORMATIVOS!$C$1:$W$1,0))="Proyección")+--(INDEX(NORMATIVOS!$C$276:$W$276,1,MATCH($B$3,NORMATIVOS!$C$1:$W$1,0))="Proyección")</f>
        <v>17</v>
      </c>
      <c r="H21" s="15">
        <f t="shared" si="0"/>
        <v>0</v>
      </c>
    </row>
    <row r="25" spans="1:8" x14ac:dyDescent="0.2">
      <c r="A25" s="50" t="s">
        <v>28</v>
      </c>
      <c r="B25" s="51"/>
      <c r="C25" s="51"/>
    </row>
    <row r="26" spans="1:8" x14ac:dyDescent="0.2">
      <c r="A26" s="10" t="s">
        <v>4</v>
      </c>
      <c r="B26" s="10" t="s">
        <v>29</v>
      </c>
      <c r="C26" s="10" t="s">
        <v>30</v>
      </c>
    </row>
    <row r="27" spans="1:8" x14ac:dyDescent="0.2">
      <c r="A27" t="s">
        <v>10</v>
      </c>
      <c r="B27" t="s">
        <v>31</v>
      </c>
      <c r="C27" t="str">
        <f>INDEX(NORMATIVOS!$C$3:$W$3,1,MATCH($B$3,NORMATIVOS!$C$1:$W$1,0))</f>
        <v>Proyección</v>
      </c>
    </row>
    <row r="28" spans="1:8" x14ac:dyDescent="0.2">
      <c r="A28" t="s">
        <v>10</v>
      </c>
      <c r="B28" t="s">
        <v>32</v>
      </c>
      <c r="C28" t="str">
        <f>INDEX(NORMATIVOS!$C$4:$W$4,1,MATCH($B$3,NORMATIVOS!$C$1:$W$1,0))</f>
        <v>Proyección</v>
      </c>
    </row>
    <row r="29" spans="1:8" x14ac:dyDescent="0.2">
      <c r="A29" t="s">
        <v>10</v>
      </c>
      <c r="B29" t="s">
        <v>33</v>
      </c>
      <c r="C29" t="str">
        <f>INDEX(NORMATIVOS!$C$5:$W$5,1,MATCH($B$3,NORMATIVOS!$C$1:$W$1,0))</f>
        <v>Proyección</v>
      </c>
    </row>
    <row r="30" spans="1:8" x14ac:dyDescent="0.2">
      <c r="A30" t="s">
        <v>10</v>
      </c>
      <c r="B30" t="s">
        <v>34</v>
      </c>
      <c r="C30" t="str">
        <f>INDEX(NORMATIVOS!$C$6:$W$6,1,MATCH($B$3,NORMATIVOS!$C$1:$W$1,0))</f>
        <v>Proyección</v>
      </c>
    </row>
    <row r="31" spans="1:8" x14ac:dyDescent="0.2">
      <c r="A31" t="s">
        <v>10</v>
      </c>
      <c r="B31" t="s">
        <v>35</v>
      </c>
      <c r="C31" t="str">
        <f>INDEX(NORMATIVOS!$C$7:$W$7,1,MATCH($B$3,NORMATIVOS!$C$1:$W$1,0))</f>
        <v>Proyección</v>
      </c>
    </row>
    <row r="32" spans="1:8" x14ac:dyDescent="0.2">
      <c r="A32" t="s">
        <v>10</v>
      </c>
      <c r="B32" t="s">
        <v>36</v>
      </c>
      <c r="C32" t="str">
        <f>INDEX(NORMATIVOS!$C$8:$W$8,1,MATCH($B$3,NORMATIVOS!$C$1:$W$1,0))</f>
        <v>Proyección</v>
      </c>
    </row>
    <row r="33" spans="1:3" x14ac:dyDescent="0.2">
      <c r="A33" t="s">
        <v>10</v>
      </c>
      <c r="B33" t="s">
        <v>37</v>
      </c>
      <c r="C33" t="str">
        <f>INDEX(NORMATIVOS!$C$9:$W$9,1,MATCH($B$3,NORMATIVOS!$C$1:$W$1,0))</f>
        <v>Proyección</v>
      </c>
    </row>
    <row r="34" spans="1:3" x14ac:dyDescent="0.2">
      <c r="A34" t="s">
        <v>10</v>
      </c>
      <c r="B34" t="s">
        <v>38</v>
      </c>
      <c r="C34" t="str">
        <f>INDEX(NORMATIVOS!$C$10:$W$10,1,MATCH($B$3,NORMATIVOS!$C$1:$W$1,0))</f>
        <v>Proyección</v>
      </c>
    </row>
    <row r="35" spans="1:3" x14ac:dyDescent="0.2">
      <c r="A35" t="s">
        <v>10</v>
      </c>
      <c r="B35" t="s">
        <v>39</v>
      </c>
      <c r="C35" t="str">
        <f>INDEX(NORMATIVOS!$C$11:$W$11,1,MATCH($B$3,NORMATIVOS!$C$1:$W$1,0))</f>
        <v>Proyección</v>
      </c>
    </row>
    <row r="36" spans="1:3" x14ac:dyDescent="0.2">
      <c r="A36" t="s">
        <v>10</v>
      </c>
      <c r="B36" t="s">
        <v>40</v>
      </c>
      <c r="C36" t="str">
        <f>INDEX(NORMATIVOS!$C$12:$W$12,1,MATCH($B$3,NORMATIVOS!$C$1:$W$1,0))</f>
        <v>Proyección</v>
      </c>
    </row>
    <row r="37" spans="1:3" x14ac:dyDescent="0.2">
      <c r="A37" t="s">
        <v>10</v>
      </c>
      <c r="B37" t="s">
        <v>41</v>
      </c>
      <c r="C37" t="str">
        <f>INDEX(NORMATIVOS!$C$13:$W$13,1,MATCH($B$3,NORMATIVOS!$C$1:$W$1,0))</f>
        <v>Proyección</v>
      </c>
    </row>
    <row r="38" spans="1:3" x14ac:dyDescent="0.2">
      <c r="A38" t="s">
        <v>10</v>
      </c>
      <c r="B38" t="s">
        <v>42</v>
      </c>
      <c r="C38" t="str">
        <f>INDEX(NORMATIVOS!$C$14:$W$14,1,MATCH($B$3,NORMATIVOS!$C$1:$W$1,0))</f>
        <v>Proyección</v>
      </c>
    </row>
    <row r="39" spans="1:3" x14ac:dyDescent="0.2">
      <c r="A39" t="s">
        <v>10</v>
      </c>
      <c r="B39" t="s">
        <v>43</v>
      </c>
      <c r="C39" t="str">
        <f>INDEX(NORMATIVOS!$C$15:$W$15,1,MATCH($B$3,NORMATIVOS!$C$1:$W$1,0))</f>
        <v>Proyección</v>
      </c>
    </row>
    <row r="40" spans="1:3" x14ac:dyDescent="0.2">
      <c r="A40" t="s">
        <v>10</v>
      </c>
      <c r="B40" t="s">
        <v>44</v>
      </c>
      <c r="C40" t="str">
        <f>INDEX(NORMATIVOS!$C$16:$W$16,1,MATCH($B$3,NORMATIVOS!$C$1:$W$1,0))</f>
        <v>Proyección</v>
      </c>
    </row>
    <row r="41" spans="1:3" x14ac:dyDescent="0.2">
      <c r="A41" t="s">
        <v>12</v>
      </c>
      <c r="B41" t="s">
        <v>45</v>
      </c>
      <c r="C41" t="str">
        <f>INDEX(NORMATIVOS!$C$17:$W$17,1,MATCH($B$3,NORMATIVOS!$C$1:$W$1,0))</f>
        <v>Proyección</v>
      </c>
    </row>
    <row r="42" spans="1:3" x14ac:dyDescent="0.2">
      <c r="A42" t="s">
        <v>12</v>
      </c>
      <c r="B42" t="s">
        <v>46</v>
      </c>
      <c r="C42" t="str">
        <f>INDEX(NORMATIVOS!$C$18:$W$18,1,MATCH($B$3,NORMATIVOS!$C$1:$W$1,0))</f>
        <v>Proyección</v>
      </c>
    </row>
    <row r="43" spans="1:3" x14ac:dyDescent="0.2">
      <c r="A43" t="s">
        <v>12</v>
      </c>
      <c r="B43" t="s">
        <v>47</v>
      </c>
      <c r="C43" t="str">
        <f>INDEX(NORMATIVOS!$C$19:$W$19,1,MATCH($B$3,NORMATIVOS!$C$1:$W$1,0))</f>
        <v>Proyección</v>
      </c>
    </row>
    <row r="44" spans="1:3" x14ac:dyDescent="0.2">
      <c r="A44" t="s">
        <v>12</v>
      </c>
      <c r="B44" t="s">
        <v>48</v>
      </c>
      <c r="C44" t="str">
        <f>INDEX(NORMATIVOS!$C$20:$W$20,1,MATCH($B$3,NORMATIVOS!$C$1:$W$1,0))</f>
        <v>Proyección</v>
      </c>
    </row>
    <row r="45" spans="1:3" x14ac:dyDescent="0.2">
      <c r="A45" t="s">
        <v>12</v>
      </c>
      <c r="B45" t="s">
        <v>49</v>
      </c>
      <c r="C45" t="str">
        <f>INDEX(NORMATIVOS!$C$21:$W$21,1,MATCH($B$3,NORMATIVOS!$C$1:$W$1,0))</f>
        <v>Proyección</v>
      </c>
    </row>
    <row r="46" spans="1:3" x14ac:dyDescent="0.2">
      <c r="A46" t="s">
        <v>12</v>
      </c>
      <c r="B46" t="s">
        <v>50</v>
      </c>
      <c r="C46" t="str">
        <f>INDEX(NORMATIVOS!$C$22:$W$22,1,MATCH($B$3,NORMATIVOS!$C$1:$W$1,0))</f>
        <v>Proyección</v>
      </c>
    </row>
    <row r="47" spans="1:3" x14ac:dyDescent="0.2">
      <c r="A47" t="s">
        <v>12</v>
      </c>
      <c r="B47" t="s">
        <v>51</v>
      </c>
      <c r="C47" t="str">
        <f>INDEX(NORMATIVOS!$C$23:$W$23,1,MATCH($B$3,NORMATIVOS!$C$1:$W$1,0))</f>
        <v>Proyección</v>
      </c>
    </row>
    <row r="48" spans="1:3" x14ac:dyDescent="0.2">
      <c r="A48" t="s">
        <v>12</v>
      </c>
      <c r="B48" t="s">
        <v>52</v>
      </c>
      <c r="C48" t="str">
        <f>INDEX(NORMATIVOS!$C$24:$W$24,1,MATCH($B$3,NORMATIVOS!$C$1:$W$1,0))</f>
        <v>Proyección</v>
      </c>
    </row>
    <row r="49" spans="1:3" x14ac:dyDescent="0.2">
      <c r="A49" t="s">
        <v>12</v>
      </c>
      <c r="B49" t="s">
        <v>53</v>
      </c>
      <c r="C49" t="str">
        <f>INDEX(NORMATIVOS!$C$25:$W$25,1,MATCH($B$3,NORMATIVOS!$C$1:$W$1,0))</f>
        <v>Proyección</v>
      </c>
    </row>
    <row r="50" spans="1:3" x14ac:dyDescent="0.2">
      <c r="A50" t="s">
        <v>12</v>
      </c>
      <c r="B50" t="s">
        <v>54</v>
      </c>
      <c r="C50" t="str">
        <f>INDEX(NORMATIVOS!$C$26:$W$26,1,MATCH($B$3,NORMATIVOS!$C$1:$W$1,0))</f>
        <v>Proyección</v>
      </c>
    </row>
    <row r="51" spans="1:3" x14ac:dyDescent="0.2">
      <c r="A51" t="s">
        <v>12</v>
      </c>
      <c r="B51" t="s">
        <v>55</v>
      </c>
      <c r="C51" t="str">
        <f>INDEX(NORMATIVOS!$C$27:$W$27,1,MATCH($B$3,NORMATIVOS!$C$1:$W$1,0))</f>
        <v>Proyección</v>
      </c>
    </row>
    <row r="52" spans="1:3" x14ac:dyDescent="0.2">
      <c r="A52" t="s">
        <v>13</v>
      </c>
      <c r="B52" t="s">
        <v>56</v>
      </c>
      <c r="C52" t="str">
        <f>INDEX(NORMATIVOS!$C$28:$W$28,1,MATCH($B$3,NORMATIVOS!$C$1:$W$1,0))</f>
        <v>Proyección</v>
      </c>
    </row>
    <row r="53" spans="1:3" x14ac:dyDescent="0.2">
      <c r="A53" t="s">
        <v>13</v>
      </c>
      <c r="B53" t="s">
        <v>57</v>
      </c>
      <c r="C53" t="str">
        <f>INDEX(NORMATIVOS!$C$29:$W$29,1,MATCH($B$3,NORMATIVOS!$C$1:$W$1,0))</f>
        <v>Proyección</v>
      </c>
    </row>
    <row r="54" spans="1:3" x14ac:dyDescent="0.2">
      <c r="A54" t="s">
        <v>13</v>
      </c>
      <c r="B54" t="s">
        <v>58</v>
      </c>
      <c r="C54" t="str">
        <f>INDEX(NORMATIVOS!$C$30:$W$30,1,MATCH($B$3,NORMATIVOS!$C$1:$W$1,0))</f>
        <v>Proyección</v>
      </c>
    </row>
    <row r="55" spans="1:3" x14ac:dyDescent="0.2">
      <c r="A55" t="s">
        <v>13</v>
      </c>
      <c r="B55" t="s">
        <v>59</v>
      </c>
      <c r="C55" t="str">
        <f>INDEX(NORMATIVOS!$C$31:$W$31,1,MATCH($B$3,NORMATIVOS!$C$1:$W$1,0))</f>
        <v>Proyección</v>
      </c>
    </row>
    <row r="56" spans="1:3" x14ac:dyDescent="0.2">
      <c r="A56" t="s">
        <v>13</v>
      </c>
      <c r="B56" t="s">
        <v>60</v>
      </c>
      <c r="C56" t="str">
        <f>INDEX(NORMATIVOS!$C$32:$W$32,1,MATCH($B$3,NORMATIVOS!$C$1:$W$1,0))</f>
        <v>Proyección</v>
      </c>
    </row>
    <row r="57" spans="1:3" x14ac:dyDescent="0.2">
      <c r="A57" t="s">
        <v>13</v>
      </c>
      <c r="B57" t="s">
        <v>61</v>
      </c>
      <c r="C57" t="str">
        <f>INDEX(NORMATIVOS!$C$33:$W$33,1,MATCH($B$3,NORMATIVOS!$C$1:$W$1,0))</f>
        <v>Proyección</v>
      </c>
    </row>
    <row r="58" spans="1:3" x14ac:dyDescent="0.2">
      <c r="A58" t="s">
        <v>13</v>
      </c>
      <c r="B58" t="s">
        <v>62</v>
      </c>
      <c r="C58" t="str">
        <f>INDEX(NORMATIVOS!$C$34:$W$34,1,MATCH($B$3,NORMATIVOS!$C$1:$W$1,0))</f>
        <v>Proyección</v>
      </c>
    </row>
    <row r="59" spans="1:3" x14ac:dyDescent="0.2">
      <c r="A59" t="s">
        <v>13</v>
      </c>
      <c r="B59" t="s">
        <v>63</v>
      </c>
      <c r="C59" t="str">
        <f>INDEX(NORMATIVOS!$C$35:$W$35,1,MATCH($B$3,NORMATIVOS!$C$1:$W$1,0))</f>
        <v>Proyección</v>
      </c>
    </row>
    <row r="60" spans="1:3" x14ac:dyDescent="0.2">
      <c r="A60" t="s">
        <v>13</v>
      </c>
      <c r="B60" t="s">
        <v>64</v>
      </c>
      <c r="C60" t="str">
        <f>INDEX(NORMATIVOS!$C$36:$W$36,1,MATCH($B$3,NORMATIVOS!$C$1:$W$1,0))</f>
        <v>Proyección</v>
      </c>
    </row>
    <row r="61" spans="1:3" x14ac:dyDescent="0.2">
      <c r="A61" t="s">
        <v>13</v>
      </c>
      <c r="B61" t="s">
        <v>65</v>
      </c>
      <c r="C61" t="str">
        <f>INDEX(NORMATIVOS!$C$37:$W$37,1,MATCH($B$3,NORMATIVOS!$C$1:$W$1,0))</f>
        <v>Proyección</v>
      </c>
    </row>
    <row r="62" spans="1:3" x14ac:dyDescent="0.2">
      <c r="A62" t="s">
        <v>14</v>
      </c>
      <c r="B62" t="s">
        <v>66</v>
      </c>
      <c r="C62" t="str">
        <f>INDEX(NORMATIVOS!$C$38:$W$38,1,MATCH($B$3,NORMATIVOS!$C$1:$W$1,0))</f>
        <v>Proyección</v>
      </c>
    </row>
    <row r="63" spans="1:3" x14ac:dyDescent="0.2">
      <c r="A63" t="s">
        <v>14</v>
      </c>
      <c r="B63" t="s">
        <v>67</v>
      </c>
      <c r="C63" t="str">
        <f>INDEX(NORMATIVOS!$C$39:$W$39,1,MATCH($B$3,NORMATIVOS!$C$1:$W$1,0))</f>
        <v>Proyección</v>
      </c>
    </row>
    <row r="64" spans="1:3" x14ac:dyDescent="0.2">
      <c r="A64" t="s">
        <v>14</v>
      </c>
      <c r="B64" t="s">
        <v>68</v>
      </c>
      <c r="C64" t="str">
        <f>INDEX(NORMATIVOS!$C$40:$W$40,1,MATCH($B$3,NORMATIVOS!$C$1:$W$1,0))</f>
        <v>Proyección</v>
      </c>
    </row>
    <row r="65" spans="1:3" x14ac:dyDescent="0.2">
      <c r="A65" t="s">
        <v>14</v>
      </c>
      <c r="B65" t="s">
        <v>69</v>
      </c>
      <c r="C65" t="str">
        <f>INDEX(NORMATIVOS!$C$41:$W$41,1,MATCH($B$3,NORMATIVOS!$C$1:$W$1,0))</f>
        <v>Proyección</v>
      </c>
    </row>
    <row r="66" spans="1:3" x14ac:dyDescent="0.2">
      <c r="A66" t="s">
        <v>14</v>
      </c>
      <c r="B66" t="s">
        <v>70</v>
      </c>
      <c r="C66" t="str">
        <f>INDEX(NORMATIVOS!$C$42:$W$42,1,MATCH($B$3,NORMATIVOS!$C$1:$W$1,0))</f>
        <v>Proyección</v>
      </c>
    </row>
    <row r="67" spans="1:3" x14ac:dyDescent="0.2">
      <c r="A67" t="s">
        <v>14</v>
      </c>
      <c r="B67" t="s">
        <v>71</v>
      </c>
      <c r="C67" t="str">
        <f>INDEX(NORMATIVOS!$C$43:$W$43,1,MATCH($B$3,NORMATIVOS!$C$1:$W$1,0))</f>
        <v>Proyección</v>
      </c>
    </row>
    <row r="68" spans="1:3" x14ac:dyDescent="0.2">
      <c r="A68" t="s">
        <v>14</v>
      </c>
      <c r="B68" t="s">
        <v>72</v>
      </c>
      <c r="C68" t="str">
        <f>INDEX(NORMATIVOS!$C$44:$W$44,1,MATCH($B$3,NORMATIVOS!$C$1:$W$1,0))</f>
        <v>Proyección</v>
      </c>
    </row>
    <row r="69" spans="1:3" x14ac:dyDescent="0.2">
      <c r="A69" t="s">
        <v>14</v>
      </c>
      <c r="B69" t="s">
        <v>73</v>
      </c>
      <c r="C69" t="str">
        <f>INDEX(NORMATIVOS!$C$45:$W$45,1,MATCH($B$3,NORMATIVOS!$C$1:$W$1,0))</f>
        <v>Proyección</v>
      </c>
    </row>
    <row r="70" spans="1:3" x14ac:dyDescent="0.2">
      <c r="A70" t="s">
        <v>14</v>
      </c>
      <c r="B70" t="s">
        <v>74</v>
      </c>
      <c r="C70" t="str">
        <f>INDEX(NORMATIVOS!$C$46:$W$46,1,MATCH($B$3,NORMATIVOS!$C$1:$W$1,0))</f>
        <v>Proyección</v>
      </c>
    </row>
    <row r="71" spans="1:3" x14ac:dyDescent="0.2">
      <c r="A71" t="s">
        <v>16</v>
      </c>
      <c r="B71" t="s">
        <v>75</v>
      </c>
      <c r="C71" t="str">
        <f>INDEX(NORMATIVOS!$C$49:$W$49,1,MATCH($B$3,NORMATIVOS!$C$1:$W$1,0))</f>
        <v>Proyección</v>
      </c>
    </row>
    <row r="72" spans="1:3" x14ac:dyDescent="0.2">
      <c r="A72" t="s">
        <v>16</v>
      </c>
      <c r="B72" t="s">
        <v>76</v>
      </c>
      <c r="C72" t="str">
        <f>INDEX(NORMATIVOS!$C$50:$W$50,1,MATCH($B$3,NORMATIVOS!$C$1:$W$1,0))</f>
        <v>Proyección</v>
      </c>
    </row>
    <row r="73" spans="1:3" x14ac:dyDescent="0.2">
      <c r="A73" t="s">
        <v>16</v>
      </c>
      <c r="B73" t="s">
        <v>77</v>
      </c>
      <c r="C73" t="str">
        <f>INDEX(NORMATIVOS!$C$51:$W$51,1,MATCH($B$3,NORMATIVOS!$C$1:$W$1,0))</f>
        <v>Proyección</v>
      </c>
    </row>
    <row r="74" spans="1:3" x14ac:dyDescent="0.2">
      <c r="A74" t="s">
        <v>16</v>
      </c>
      <c r="B74" t="s">
        <v>78</v>
      </c>
      <c r="C74" t="str">
        <f>INDEX(NORMATIVOS!$C$52:$W$52,1,MATCH($B$3,NORMATIVOS!$C$1:$W$1,0))</f>
        <v>Proyección</v>
      </c>
    </row>
    <row r="75" spans="1:3" x14ac:dyDescent="0.2">
      <c r="A75" t="s">
        <v>16</v>
      </c>
      <c r="B75" t="s">
        <v>79</v>
      </c>
      <c r="C75" t="str">
        <f>INDEX(NORMATIVOS!$C$53:$W$53,1,MATCH($B$3,NORMATIVOS!$C$1:$W$1,0))</f>
        <v>Proyección</v>
      </c>
    </row>
    <row r="76" spans="1:3" x14ac:dyDescent="0.2">
      <c r="A76" t="s">
        <v>16</v>
      </c>
      <c r="B76" t="s">
        <v>80</v>
      </c>
      <c r="C76" t="str">
        <f>INDEX(NORMATIVOS!$C$54:$W$54,1,MATCH($B$3,NORMATIVOS!$C$1:$W$1,0))</f>
        <v>Proyección</v>
      </c>
    </row>
    <row r="77" spans="1:3" x14ac:dyDescent="0.2">
      <c r="A77" t="s">
        <v>16</v>
      </c>
      <c r="B77" t="s">
        <v>81</v>
      </c>
      <c r="C77" t="str">
        <f>INDEX(NORMATIVOS!$C$55:$W$55,1,MATCH($B$3,NORMATIVOS!$C$1:$W$1,0))</f>
        <v>Proyección</v>
      </c>
    </row>
    <row r="78" spans="1:3" x14ac:dyDescent="0.2">
      <c r="A78" t="s">
        <v>16</v>
      </c>
      <c r="B78" t="s">
        <v>82</v>
      </c>
      <c r="C78" t="str">
        <f>INDEX(NORMATIVOS!$C$56:$W$56,1,MATCH($B$3,NORMATIVOS!$C$1:$W$1,0))</f>
        <v>Proyección</v>
      </c>
    </row>
    <row r="79" spans="1:3" x14ac:dyDescent="0.2">
      <c r="A79" t="s">
        <v>16</v>
      </c>
      <c r="B79" t="s">
        <v>83</v>
      </c>
      <c r="C79" t="str">
        <f>INDEX(NORMATIVOS!$C$57:$W$57,1,MATCH($B$3,NORMATIVOS!$C$1:$W$1,0))</f>
        <v>Proyección</v>
      </c>
    </row>
    <row r="80" spans="1:3" x14ac:dyDescent="0.2">
      <c r="A80" t="s">
        <v>16</v>
      </c>
      <c r="B80" t="s">
        <v>84</v>
      </c>
      <c r="C80" t="str">
        <f>INDEX(NORMATIVOS!$C$58:$W$58,1,MATCH($B$3,NORMATIVOS!$C$1:$W$1,0))</f>
        <v>Proyección</v>
      </c>
    </row>
    <row r="81" spans="1:3" x14ac:dyDescent="0.2">
      <c r="A81" t="s">
        <v>16</v>
      </c>
      <c r="B81" t="s">
        <v>85</v>
      </c>
      <c r="C81" t="str">
        <f>INDEX(NORMATIVOS!$C$59:$W$59,1,MATCH($B$3,NORMATIVOS!$C$1:$W$1,0))</f>
        <v>Proyección</v>
      </c>
    </row>
    <row r="82" spans="1:3" x14ac:dyDescent="0.2">
      <c r="A82" t="s">
        <v>16</v>
      </c>
      <c r="B82" t="s">
        <v>86</v>
      </c>
      <c r="C82" t="str">
        <f>INDEX(NORMATIVOS!$C$60:$W$60,1,MATCH($B$3,NORMATIVOS!$C$1:$W$1,0))</f>
        <v>Proyección</v>
      </c>
    </row>
    <row r="83" spans="1:3" x14ac:dyDescent="0.2">
      <c r="A83" t="s">
        <v>16</v>
      </c>
      <c r="B83" t="s">
        <v>87</v>
      </c>
      <c r="C83" t="str">
        <f>INDEX(NORMATIVOS!$C$61:$W$61,1,MATCH($B$3,NORMATIVOS!$C$1:$W$1,0))</f>
        <v>Proyección</v>
      </c>
    </row>
    <row r="84" spans="1:3" x14ac:dyDescent="0.2">
      <c r="A84" t="s">
        <v>16</v>
      </c>
      <c r="B84" t="s">
        <v>88</v>
      </c>
      <c r="C84" t="str">
        <f>INDEX(NORMATIVOS!$C$62:$W$62,1,MATCH($B$3,NORMATIVOS!$C$1:$W$1,0))</f>
        <v>Proyección</v>
      </c>
    </row>
    <row r="85" spans="1:3" x14ac:dyDescent="0.2">
      <c r="A85" t="s">
        <v>16</v>
      </c>
      <c r="B85" t="s">
        <v>89</v>
      </c>
      <c r="C85" t="str">
        <f>INDEX(NORMATIVOS!$C$63:$W$63,1,MATCH($B$3,NORMATIVOS!$C$1:$W$1,0))</f>
        <v>Proyección</v>
      </c>
    </row>
    <row r="86" spans="1:3" x14ac:dyDescent="0.2">
      <c r="A86" t="s">
        <v>16</v>
      </c>
      <c r="B86" t="s">
        <v>90</v>
      </c>
      <c r="C86" t="str">
        <f>INDEX(NORMATIVOS!$C$64:$W$64,1,MATCH($B$3,NORMATIVOS!$C$1:$W$1,0))</f>
        <v>Proyección</v>
      </c>
    </row>
    <row r="87" spans="1:3" x14ac:dyDescent="0.2">
      <c r="A87" t="s">
        <v>17</v>
      </c>
      <c r="B87" t="s">
        <v>91</v>
      </c>
      <c r="C87" t="str">
        <f>INDEX(NORMATIVOS!$C$65:$W$65,1,MATCH($B$3,NORMATIVOS!$C$1:$W$1,0))</f>
        <v>Proyección</v>
      </c>
    </row>
    <row r="88" spans="1:3" x14ac:dyDescent="0.2">
      <c r="A88" t="s">
        <v>17</v>
      </c>
      <c r="B88" t="s">
        <v>92</v>
      </c>
      <c r="C88" t="str">
        <f>INDEX(NORMATIVOS!$C$66:$W$66,1,MATCH($B$3,NORMATIVOS!$C$1:$W$1,0))</f>
        <v>Proyección</v>
      </c>
    </row>
    <row r="89" spans="1:3" x14ac:dyDescent="0.2">
      <c r="A89" t="s">
        <v>17</v>
      </c>
      <c r="B89" t="s">
        <v>86</v>
      </c>
      <c r="C89" t="str">
        <f>INDEX(NORMATIVOS!$C$67:$W$67,1,MATCH($B$3,NORMATIVOS!$C$1:$W$1,0))</f>
        <v>Proyección</v>
      </c>
    </row>
    <row r="90" spans="1:3" x14ac:dyDescent="0.2">
      <c r="A90" t="s">
        <v>17</v>
      </c>
      <c r="B90" t="s">
        <v>93</v>
      </c>
      <c r="C90" t="str">
        <f>INDEX(NORMATIVOS!$C$68:$W$68,1,MATCH($B$3,NORMATIVOS!$C$1:$W$1,0))</f>
        <v>Proyección</v>
      </c>
    </row>
    <row r="91" spans="1:3" x14ac:dyDescent="0.2">
      <c r="A91" t="s">
        <v>17</v>
      </c>
      <c r="B91" t="s">
        <v>94</v>
      </c>
      <c r="C91" t="str">
        <f>INDEX(NORMATIVOS!$C$69:$W$69,1,MATCH($B$3,NORMATIVOS!$C$1:$W$1,0))</f>
        <v>Proyección</v>
      </c>
    </row>
    <row r="92" spans="1:3" x14ac:dyDescent="0.2">
      <c r="A92" t="s">
        <v>17</v>
      </c>
      <c r="B92" t="s">
        <v>84</v>
      </c>
      <c r="C92" t="str">
        <f>INDEX(NORMATIVOS!$C$70:$W$70,1,MATCH($B$3,NORMATIVOS!$C$1:$W$1,0))</f>
        <v>Proyección</v>
      </c>
    </row>
    <row r="93" spans="1:3" x14ac:dyDescent="0.2">
      <c r="A93" t="s">
        <v>17</v>
      </c>
      <c r="B93" t="s">
        <v>87</v>
      </c>
      <c r="C93" t="str">
        <f>INDEX(NORMATIVOS!$C$71:$W$71,1,MATCH($B$3,NORMATIVOS!$C$1:$W$1,0))</f>
        <v>Proyección</v>
      </c>
    </row>
    <row r="94" spans="1:3" x14ac:dyDescent="0.2">
      <c r="A94" t="s">
        <v>17</v>
      </c>
      <c r="B94" t="s">
        <v>88</v>
      </c>
      <c r="C94" t="str">
        <f>INDEX(NORMATIVOS!$C$72:$W$72,1,MATCH($B$3,NORMATIVOS!$C$1:$W$1,0))</f>
        <v>Proyección</v>
      </c>
    </row>
    <row r="95" spans="1:3" x14ac:dyDescent="0.2">
      <c r="A95" t="s">
        <v>17</v>
      </c>
      <c r="B95" t="s">
        <v>95</v>
      </c>
      <c r="C95" t="str">
        <f>INDEX(NORMATIVOS!$C$73:$W$73,1,MATCH($B$3,NORMATIVOS!$C$1:$W$1,0))</f>
        <v>Proyección</v>
      </c>
    </row>
    <row r="96" spans="1:3" x14ac:dyDescent="0.2">
      <c r="A96" t="s">
        <v>17</v>
      </c>
      <c r="B96" t="s">
        <v>96</v>
      </c>
      <c r="C96" t="str">
        <f>INDEX(NORMATIVOS!$C$74:$W$74,1,MATCH($B$3,NORMATIVOS!$C$1:$W$1,0))</f>
        <v>Proyección</v>
      </c>
    </row>
    <row r="97" spans="1:3" x14ac:dyDescent="0.2">
      <c r="A97" t="s">
        <v>17</v>
      </c>
      <c r="B97" t="s">
        <v>90</v>
      </c>
      <c r="C97" t="str">
        <f>INDEX(NORMATIVOS!$C$75:$W$75,1,MATCH($B$3,NORMATIVOS!$C$1:$W$1,0))</f>
        <v>Proyección</v>
      </c>
    </row>
    <row r="98" spans="1:3" x14ac:dyDescent="0.2">
      <c r="A98" t="s">
        <v>17</v>
      </c>
      <c r="B98" t="s">
        <v>97</v>
      </c>
      <c r="C98" t="str">
        <f>INDEX(NORMATIVOS!$C$76:$W$76,1,MATCH($B$3,NORMATIVOS!$C$1:$W$1,0))</f>
        <v>Proyección</v>
      </c>
    </row>
    <row r="99" spans="1:3" x14ac:dyDescent="0.2">
      <c r="A99" t="s">
        <v>17</v>
      </c>
      <c r="B99" t="s">
        <v>98</v>
      </c>
      <c r="C99" t="str">
        <f>INDEX(NORMATIVOS!$C$77:$W$77,1,MATCH($B$3,NORMATIVOS!$C$1:$W$1,0))</f>
        <v>Proyección</v>
      </c>
    </row>
    <row r="100" spans="1:3" x14ac:dyDescent="0.2">
      <c r="A100" t="s">
        <v>17</v>
      </c>
      <c r="B100" t="s">
        <v>99</v>
      </c>
      <c r="C100" t="str">
        <f>INDEX(NORMATIVOS!$C$78:$W$78,1,MATCH($B$3,NORMATIVOS!$C$1:$W$1,0))</f>
        <v>Proyección</v>
      </c>
    </row>
    <row r="101" spans="1:3" x14ac:dyDescent="0.2">
      <c r="A101" t="s">
        <v>18</v>
      </c>
      <c r="B101" t="s">
        <v>100</v>
      </c>
      <c r="C101" t="str">
        <f>INDEX(NORMATIVOS!$C$79:$W$79,1,MATCH($B$3,NORMATIVOS!$C$1:$W$1,0))</f>
        <v>Proyección</v>
      </c>
    </row>
    <row r="102" spans="1:3" x14ac:dyDescent="0.2">
      <c r="A102" t="s">
        <v>18</v>
      </c>
      <c r="B102" t="s">
        <v>101</v>
      </c>
      <c r="C102" t="str">
        <f>INDEX(NORMATIVOS!$C$80:$W$80,1,MATCH($B$3,NORMATIVOS!$C$1:$W$1,0))</f>
        <v>Proyección</v>
      </c>
    </row>
    <row r="103" spans="1:3" x14ac:dyDescent="0.2">
      <c r="A103" t="s">
        <v>18</v>
      </c>
      <c r="B103" t="s">
        <v>102</v>
      </c>
      <c r="C103" t="str">
        <f>INDEX(NORMATIVOS!$C$81:$W$81,1,MATCH($B$3,NORMATIVOS!$C$1:$W$1,0))</f>
        <v>Proyección</v>
      </c>
    </row>
    <row r="104" spans="1:3" x14ac:dyDescent="0.2">
      <c r="A104" t="s">
        <v>18</v>
      </c>
      <c r="B104" t="s">
        <v>103</v>
      </c>
      <c r="C104" t="str">
        <f>INDEX(NORMATIVOS!$C$82:$W$82,1,MATCH($B$3,NORMATIVOS!$C$1:$W$1,0))</f>
        <v>Proyección</v>
      </c>
    </row>
    <row r="105" spans="1:3" x14ac:dyDescent="0.2">
      <c r="A105" t="s">
        <v>18</v>
      </c>
      <c r="B105" t="s">
        <v>104</v>
      </c>
      <c r="C105" t="str">
        <f>INDEX(NORMATIVOS!$C$83:$W$83,1,MATCH($B$3,NORMATIVOS!$C$1:$W$1,0))</f>
        <v>Proyección</v>
      </c>
    </row>
    <row r="106" spans="1:3" x14ac:dyDescent="0.2">
      <c r="A106" t="s">
        <v>18</v>
      </c>
      <c r="B106" t="s">
        <v>105</v>
      </c>
      <c r="C106" t="str">
        <f>INDEX(NORMATIVOS!$C$84:$W$84,1,MATCH($B$3,NORMATIVOS!$C$1:$W$1,0))</f>
        <v>Proyección</v>
      </c>
    </row>
    <row r="107" spans="1:3" x14ac:dyDescent="0.2">
      <c r="A107" t="s">
        <v>18</v>
      </c>
      <c r="B107" t="s">
        <v>106</v>
      </c>
      <c r="C107" t="str">
        <f>INDEX(NORMATIVOS!$C$85:$W$85,1,MATCH($B$3,NORMATIVOS!$C$1:$W$1,0))</f>
        <v>Proyección</v>
      </c>
    </row>
    <row r="108" spans="1:3" x14ac:dyDescent="0.2">
      <c r="A108" t="s">
        <v>18</v>
      </c>
      <c r="B108" t="s">
        <v>107</v>
      </c>
      <c r="C108" t="str">
        <f>INDEX(NORMATIVOS!$C$86:$W$86,1,MATCH($B$3,NORMATIVOS!$C$1:$W$1,0))</f>
        <v>Proyección</v>
      </c>
    </row>
    <row r="109" spans="1:3" x14ac:dyDescent="0.2">
      <c r="A109" t="s">
        <v>18</v>
      </c>
      <c r="B109" t="s">
        <v>108</v>
      </c>
      <c r="C109" t="str">
        <f>INDEX(NORMATIVOS!$C$87:$W$87,1,MATCH($B$3,NORMATIVOS!$C$1:$W$1,0))</f>
        <v>Proyección</v>
      </c>
    </row>
    <row r="110" spans="1:3" x14ac:dyDescent="0.2">
      <c r="A110" t="s">
        <v>18</v>
      </c>
      <c r="B110" t="s">
        <v>109</v>
      </c>
      <c r="C110" t="str">
        <f>INDEX(NORMATIVOS!$C$88:$W$88,1,MATCH($B$3,NORMATIVOS!$C$1:$W$1,0))</f>
        <v>Proyección</v>
      </c>
    </row>
    <row r="111" spans="1:3" x14ac:dyDescent="0.2">
      <c r="A111" t="s">
        <v>18</v>
      </c>
      <c r="B111" t="s">
        <v>110</v>
      </c>
      <c r="C111" t="str">
        <f>INDEX(NORMATIVOS!$C$89:$W$89,1,MATCH($B$3,NORMATIVOS!$C$1:$W$1,0))</f>
        <v>Proyección</v>
      </c>
    </row>
    <row r="112" spans="1:3" x14ac:dyDescent="0.2">
      <c r="A112" t="s">
        <v>18</v>
      </c>
      <c r="B112" t="s">
        <v>84</v>
      </c>
      <c r="C112" t="str">
        <f>INDEX(NORMATIVOS!$C$90:$W$90,1,MATCH($B$3,NORMATIVOS!$C$1:$W$1,0))</f>
        <v>Proyección</v>
      </c>
    </row>
    <row r="113" spans="1:3" x14ac:dyDescent="0.2">
      <c r="A113" t="s">
        <v>18</v>
      </c>
      <c r="B113" t="s">
        <v>111</v>
      </c>
      <c r="C113" t="str">
        <f>INDEX(NORMATIVOS!$C$91:$W$91,1,MATCH($B$3,NORMATIVOS!$C$1:$W$1,0))</f>
        <v>Proyección</v>
      </c>
    </row>
    <row r="114" spans="1:3" x14ac:dyDescent="0.2">
      <c r="A114" t="s">
        <v>18</v>
      </c>
      <c r="B114" t="s">
        <v>112</v>
      </c>
      <c r="C114" t="str">
        <f>INDEX(NORMATIVOS!$C$92:$W$92,1,MATCH($B$3,NORMATIVOS!$C$1:$W$1,0))</f>
        <v>Proyección</v>
      </c>
    </row>
    <row r="115" spans="1:3" x14ac:dyDescent="0.2">
      <c r="A115" t="s">
        <v>18</v>
      </c>
      <c r="B115" t="s">
        <v>113</v>
      </c>
      <c r="C115" t="str">
        <f>INDEX(NORMATIVOS!$C$93:$W$93,1,MATCH($B$3,NORMATIVOS!$C$1:$W$1,0))</f>
        <v>Proyección</v>
      </c>
    </row>
    <row r="116" spans="1:3" x14ac:dyDescent="0.2">
      <c r="A116" t="s">
        <v>18</v>
      </c>
      <c r="B116" t="s">
        <v>114</v>
      </c>
      <c r="C116" t="str">
        <f>INDEX(NORMATIVOS!$C$94:$W$94,1,MATCH($B$3,NORMATIVOS!$C$1:$W$1,0))</f>
        <v>Proyección</v>
      </c>
    </row>
    <row r="117" spans="1:3" x14ac:dyDescent="0.2">
      <c r="A117" t="s">
        <v>18</v>
      </c>
      <c r="B117" t="s">
        <v>115</v>
      </c>
      <c r="C117" t="str">
        <f>INDEX(NORMATIVOS!$C$95:$W$95,1,MATCH($B$3,NORMATIVOS!$C$1:$W$1,0))</f>
        <v>Proyección</v>
      </c>
    </row>
    <row r="118" spans="1:3" x14ac:dyDescent="0.2">
      <c r="A118" t="s">
        <v>18</v>
      </c>
      <c r="B118" t="s">
        <v>98</v>
      </c>
      <c r="C118" t="str">
        <f>INDEX(NORMATIVOS!$C$96:$W$96,1,MATCH($B$3,NORMATIVOS!$C$1:$W$1,0))</f>
        <v>Proyección</v>
      </c>
    </row>
    <row r="119" spans="1:3" x14ac:dyDescent="0.2">
      <c r="A119" t="s">
        <v>18</v>
      </c>
      <c r="B119" t="s">
        <v>99</v>
      </c>
      <c r="C119" t="str">
        <f>INDEX(NORMATIVOS!$C$97:$W$97,1,MATCH($B$3,NORMATIVOS!$C$1:$W$1,0))</f>
        <v>Proyección</v>
      </c>
    </row>
    <row r="120" spans="1:3" x14ac:dyDescent="0.2">
      <c r="A120" t="s">
        <v>18</v>
      </c>
      <c r="B120" t="s">
        <v>116</v>
      </c>
      <c r="C120" t="str">
        <f>INDEX(NORMATIVOS!$C$98:$W$98,1,MATCH($B$3,NORMATIVOS!$C$1:$W$1,0))</f>
        <v>Proyección</v>
      </c>
    </row>
    <row r="121" spans="1:3" x14ac:dyDescent="0.2">
      <c r="A121" t="s">
        <v>18</v>
      </c>
      <c r="B121" t="s">
        <v>117</v>
      </c>
      <c r="C121" t="str">
        <f>INDEX(NORMATIVOS!$C$99:$W$99,1,MATCH($B$3,NORMATIVOS!$C$1:$W$1,0))</f>
        <v>Proyección</v>
      </c>
    </row>
    <row r="122" spans="1:3" x14ac:dyDescent="0.2">
      <c r="A122" t="s">
        <v>18</v>
      </c>
      <c r="B122" t="s">
        <v>118</v>
      </c>
      <c r="C122" t="str">
        <f>INDEX(NORMATIVOS!$C$100:$W$100,1,MATCH($B$3,NORMATIVOS!$C$1:$W$1,0))</f>
        <v>Proyección</v>
      </c>
    </row>
    <row r="123" spans="1:3" x14ac:dyDescent="0.2">
      <c r="A123" t="s">
        <v>18</v>
      </c>
      <c r="B123" t="s">
        <v>119</v>
      </c>
      <c r="C123" t="str">
        <f>INDEX(NORMATIVOS!$C$101:$W$101,1,MATCH($B$3,NORMATIVOS!$C$1:$W$1,0))</f>
        <v>Proyección</v>
      </c>
    </row>
    <row r="124" spans="1:3" x14ac:dyDescent="0.2">
      <c r="A124" t="s">
        <v>18</v>
      </c>
      <c r="B124" t="s">
        <v>120</v>
      </c>
      <c r="C124" t="str">
        <f>INDEX(NORMATIVOS!$C$102:$W$102,1,MATCH($B$3,NORMATIVOS!$C$1:$W$1,0))</f>
        <v>Proyección</v>
      </c>
    </row>
    <row r="125" spans="1:3" x14ac:dyDescent="0.2">
      <c r="A125" t="s">
        <v>18</v>
      </c>
      <c r="B125" t="s">
        <v>121</v>
      </c>
      <c r="C125" t="str">
        <f>INDEX(NORMATIVOS!$C$103:$W$103,1,MATCH($B$3,NORMATIVOS!$C$1:$W$1,0))</f>
        <v>Proyección</v>
      </c>
    </row>
    <row r="126" spans="1:3" x14ac:dyDescent="0.2">
      <c r="A126" t="s">
        <v>18</v>
      </c>
      <c r="B126" t="s">
        <v>122</v>
      </c>
      <c r="C126" t="str">
        <f>INDEX(NORMATIVOS!$C$104:$W$104,1,MATCH($B$3,NORMATIVOS!$C$1:$W$1,0))</f>
        <v>Proyección</v>
      </c>
    </row>
    <row r="127" spans="1:3" x14ac:dyDescent="0.2">
      <c r="A127" t="s">
        <v>19</v>
      </c>
      <c r="B127" t="s">
        <v>123</v>
      </c>
      <c r="C127" t="str">
        <f>INDEX(NORMATIVOS!$C$107:$N$107,1,MATCH($B$3,NORMATIVOS!$C$1:$W$1,0))</f>
        <v>Proyección</v>
      </c>
    </row>
    <row r="128" spans="1:3" x14ac:dyDescent="0.2">
      <c r="A128" t="s">
        <v>19</v>
      </c>
      <c r="B128" t="s">
        <v>124</v>
      </c>
      <c r="C128" t="str">
        <f>INDEX(NORMATIVOS!$C$108:$W$108,1,MATCH($B$3,NORMATIVOS!$C$1:$W$1,0))</f>
        <v>Proyección</v>
      </c>
    </row>
    <row r="129" spans="1:3" x14ac:dyDescent="0.2">
      <c r="A129" t="s">
        <v>19</v>
      </c>
      <c r="B129" t="s">
        <v>125</v>
      </c>
      <c r="C129" t="str">
        <f>INDEX(NORMATIVOS!$C$109:$W$109,1,MATCH($B$3,NORMATIVOS!$C$1:$W$1,0))</f>
        <v>Proyección</v>
      </c>
    </row>
    <row r="130" spans="1:3" x14ac:dyDescent="0.2">
      <c r="A130" t="s">
        <v>19</v>
      </c>
      <c r="B130" t="s">
        <v>126</v>
      </c>
      <c r="C130" t="str">
        <f>INDEX(NORMATIVOS!$C$110:$W$110,1,MATCH($B$3,NORMATIVOS!$C$1:$W$1,0))</f>
        <v>Proyección</v>
      </c>
    </row>
    <row r="131" spans="1:3" x14ac:dyDescent="0.2">
      <c r="A131" t="s">
        <v>19</v>
      </c>
      <c r="B131" t="s">
        <v>127</v>
      </c>
      <c r="C131" t="str">
        <f>INDEX(NORMATIVOS!$C$111:$W$111,1,MATCH($B$3,NORMATIVOS!$C$1:$W$1,0))</f>
        <v>Proyección</v>
      </c>
    </row>
    <row r="132" spans="1:3" x14ac:dyDescent="0.2">
      <c r="A132" t="s">
        <v>19</v>
      </c>
      <c r="B132" t="s">
        <v>128</v>
      </c>
      <c r="C132" t="str">
        <f>INDEX(NORMATIVOS!$C$112:$W$112,1,MATCH($B$3,NORMATIVOS!$C$1:$W$1,0))</f>
        <v>Proyección</v>
      </c>
    </row>
    <row r="133" spans="1:3" x14ac:dyDescent="0.2">
      <c r="A133" t="s">
        <v>19</v>
      </c>
      <c r="B133" t="s">
        <v>129</v>
      </c>
      <c r="C133" t="str">
        <f>INDEX(NORMATIVOS!$C$113:$W$113,1,MATCH($B$3,NORMATIVOS!$C$1:$W$1,0))</f>
        <v>Proyección</v>
      </c>
    </row>
    <row r="134" spans="1:3" x14ac:dyDescent="0.2">
      <c r="A134" t="s">
        <v>19</v>
      </c>
      <c r="B134" t="s">
        <v>32</v>
      </c>
      <c r="C134" t="str">
        <f>INDEX(NORMATIVOS!$C$114:$W$114,1,MATCH($B$3,NORMATIVOS!$C$1:$W$1,0))</f>
        <v>Proyección</v>
      </c>
    </row>
    <row r="135" spans="1:3" x14ac:dyDescent="0.2">
      <c r="A135" t="s">
        <v>19</v>
      </c>
      <c r="B135" t="s">
        <v>130</v>
      </c>
      <c r="C135" t="str">
        <f>INDEX(NORMATIVOS!$C$115:$W$115,1,MATCH($B$3,NORMATIVOS!$C$1:$W$1,0))</f>
        <v>Proyección</v>
      </c>
    </row>
    <row r="136" spans="1:3" x14ac:dyDescent="0.2">
      <c r="A136" t="s">
        <v>19</v>
      </c>
      <c r="B136" t="s">
        <v>131</v>
      </c>
      <c r="C136" t="str">
        <f>INDEX(NORMATIVOS!$C$116:$W$116,1,MATCH($B$3,NORMATIVOS!$C$1:$W$1,0))</f>
        <v>Proyección</v>
      </c>
    </row>
    <row r="137" spans="1:3" x14ac:dyDescent="0.2">
      <c r="A137" t="s">
        <v>19</v>
      </c>
      <c r="B137" t="s">
        <v>132</v>
      </c>
      <c r="C137" t="str">
        <f>INDEX(NORMATIVOS!$C$117:$W$117,1,MATCH($B$3,NORMATIVOS!$C$1:$W$1,0))</f>
        <v>Proyección</v>
      </c>
    </row>
    <row r="138" spans="1:3" x14ac:dyDescent="0.2">
      <c r="A138" t="s">
        <v>19</v>
      </c>
      <c r="B138" t="s">
        <v>133</v>
      </c>
      <c r="C138" t="str">
        <f>INDEX(NORMATIVOS!$C$118:$W$118,1,MATCH($B$3,NORMATIVOS!$C$1:$W$1,0))</f>
        <v>Proyección</v>
      </c>
    </row>
    <row r="139" spans="1:3" x14ac:dyDescent="0.2">
      <c r="A139" t="s">
        <v>19</v>
      </c>
      <c r="B139" t="s">
        <v>134</v>
      </c>
      <c r="C139" t="str">
        <f>INDEX(NORMATIVOS!$C$119:$W$119,1,MATCH($B$3,NORMATIVOS!$C$1:$W$1,0))</f>
        <v>Proyección</v>
      </c>
    </row>
    <row r="140" spans="1:3" x14ac:dyDescent="0.2">
      <c r="A140" t="s">
        <v>19</v>
      </c>
      <c r="B140" t="s">
        <v>135</v>
      </c>
      <c r="C140" t="str">
        <f>INDEX(NORMATIVOS!$C$120:$W$120,1,MATCH($B$3,NORMATIVOS!$C$1:$W$1,0))</f>
        <v>Proyección</v>
      </c>
    </row>
    <row r="141" spans="1:3" x14ac:dyDescent="0.2">
      <c r="A141" t="s">
        <v>19</v>
      </c>
      <c r="B141" t="s">
        <v>136</v>
      </c>
      <c r="C141" t="str">
        <f>INDEX(NORMATIVOS!$C$121:$W$121,1,MATCH($B$3,NORMATIVOS!$C$1:$W$1,0))</f>
        <v>Proyección</v>
      </c>
    </row>
    <row r="142" spans="1:3" x14ac:dyDescent="0.2">
      <c r="A142" t="s">
        <v>20</v>
      </c>
      <c r="B142" t="s">
        <v>137</v>
      </c>
      <c r="C142" t="str">
        <f>INDEX(NORMATIVOS!$C$122:$W$122,1,MATCH($B$3,NORMATIVOS!$C$1:$W$1,0))</f>
        <v>Proyección</v>
      </c>
    </row>
    <row r="143" spans="1:3" x14ac:dyDescent="0.2">
      <c r="A143" t="s">
        <v>20</v>
      </c>
      <c r="B143" t="s">
        <v>138</v>
      </c>
      <c r="C143" t="str">
        <f>INDEX(NORMATIVOS!$C$123:$W$123,1,MATCH($B$3,NORMATIVOS!$C$1:$W$1,0))</f>
        <v>Proyección</v>
      </c>
    </row>
    <row r="144" spans="1:3" x14ac:dyDescent="0.2">
      <c r="A144" t="s">
        <v>20</v>
      </c>
      <c r="B144" t="s">
        <v>139</v>
      </c>
      <c r="C144" t="str">
        <f>INDEX(NORMATIVOS!$C$124:$W$124,1,MATCH($B$3,NORMATIVOS!$C$1:$W$1,0))</f>
        <v>Proyección</v>
      </c>
    </row>
    <row r="145" spans="1:3" x14ac:dyDescent="0.2">
      <c r="A145" t="s">
        <v>20</v>
      </c>
      <c r="B145" t="s">
        <v>140</v>
      </c>
      <c r="C145" t="str">
        <f>INDEX(NORMATIVOS!$C$125:$W$125,1,MATCH($B$3,NORMATIVOS!$C$1:$W$1,0))</f>
        <v>Proyección</v>
      </c>
    </row>
    <row r="146" spans="1:3" x14ac:dyDescent="0.2">
      <c r="A146" t="s">
        <v>20</v>
      </c>
      <c r="B146" t="s">
        <v>141</v>
      </c>
      <c r="C146" t="str">
        <f>INDEX(NORMATIVOS!$C$126:$W$126,1,MATCH($B$3,NORMATIVOS!$C$1:$W$1,0))</f>
        <v>Proyección</v>
      </c>
    </row>
    <row r="147" spans="1:3" x14ac:dyDescent="0.2">
      <c r="A147" t="s">
        <v>20</v>
      </c>
      <c r="B147" t="s">
        <v>142</v>
      </c>
      <c r="C147" t="str">
        <f>INDEX(NORMATIVOS!$C$127:$W$127,1,MATCH($B$3,NORMATIVOS!$C$1:$W$1,0))</f>
        <v>Proyección</v>
      </c>
    </row>
    <row r="148" spans="1:3" x14ac:dyDescent="0.2">
      <c r="A148" t="s">
        <v>20</v>
      </c>
      <c r="B148" t="s">
        <v>143</v>
      </c>
      <c r="C148" t="str">
        <f>INDEX(NORMATIVOS!$C$128:$W$128,1,MATCH($B$3,NORMATIVOS!$C$1:$W$1,0))</f>
        <v>Proyección</v>
      </c>
    </row>
    <row r="149" spans="1:3" x14ac:dyDescent="0.2">
      <c r="A149" t="s">
        <v>20</v>
      </c>
      <c r="B149" t="s">
        <v>144</v>
      </c>
      <c r="C149" t="str">
        <f>INDEX(NORMATIVOS!$C$129:$W$129,1,MATCH($B$3,NORMATIVOS!$C$1:$W$1,0))</f>
        <v>Proyección</v>
      </c>
    </row>
    <row r="150" spans="1:3" x14ac:dyDescent="0.2">
      <c r="A150" t="s">
        <v>20</v>
      </c>
      <c r="B150" t="s">
        <v>145</v>
      </c>
      <c r="C150" t="str">
        <f>INDEX(NORMATIVOS!$C$130:$W$130,1,MATCH($B$3,NORMATIVOS!$C$1:$W$1,0))</f>
        <v>Proyección</v>
      </c>
    </row>
    <row r="151" spans="1:3" x14ac:dyDescent="0.2">
      <c r="A151" t="s">
        <v>20</v>
      </c>
      <c r="B151" t="s">
        <v>146</v>
      </c>
      <c r="C151" t="str">
        <f>INDEX(NORMATIVOS!$C$131:$W$131,1,MATCH($B$3,NORMATIVOS!$C$1:$W$1,0))</f>
        <v>Proyección</v>
      </c>
    </row>
    <row r="152" spans="1:3" x14ac:dyDescent="0.2">
      <c r="A152" t="s">
        <v>20</v>
      </c>
      <c r="B152" t="s">
        <v>147</v>
      </c>
      <c r="C152" t="str">
        <f>INDEX(NORMATIVOS!$C$132:$W$132,1,MATCH($B$3,NORMATIVOS!$C$1:$W$1,0))</f>
        <v>Proyección</v>
      </c>
    </row>
    <row r="153" spans="1:3" x14ac:dyDescent="0.2">
      <c r="A153" t="s">
        <v>20</v>
      </c>
      <c r="B153" t="s">
        <v>148</v>
      </c>
      <c r="C153" t="str">
        <f>INDEX(NORMATIVOS!$C$133:$W$133,1,MATCH($B$3,NORMATIVOS!$C$1:$W$1,0))</f>
        <v>Proyección</v>
      </c>
    </row>
    <row r="154" spans="1:3" x14ac:dyDescent="0.2">
      <c r="A154" t="s">
        <v>20</v>
      </c>
      <c r="B154" t="s">
        <v>149</v>
      </c>
      <c r="C154" t="str">
        <f>INDEX(NORMATIVOS!$C$134:$W$134,1,MATCH($B$3,NORMATIVOS!$C$1:$W$1,0))</f>
        <v>Proyección</v>
      </c>
    </row>
    <row r="155" spans="1:3" x14ac:dyDescent="0.2">
      <c r="A155" t="s">
        <v>20</v>
      </c>
      <c r="B155" t="s">
        <v>150</v>
      </c>
      <c r="C155" t="str">
        <f>INDEX(NORMATIVOS!$C$135:$W$135,1,MATCH($B$3,NORMATIVOS!$C$1:$W$1,0))</f>
        <v>Proyección</v>
      </c>
    </row>
    <row r="156" spans="1:3" x14ac:dyDescent="0.2">
      <c r="A156" t="s">
        <v>20</v>
      </c>
      <c r="B156" t="s">
        <v>151</v>
      </c>
      <c r="C156" t="str">
        <f>INDEX(NORMATIVOS!$C$136:$W$136,1,MATCH($B$3,NORMATIVOS!$C$1:$W$1,0))</f>
        <v>Proyección</v>
      </c>
    </row>
    <row r="157" spans="1:3" x14ac:dyDescent="0.2">
      <c r="A157" t="s">
        <v>20</v>
      </c>
      <c r="B157" t="s">
        <v>152</v>
      </c>
      <c r="C157" t="str">
        <f>INDEX(NORMATIVOS!$C$137:$W$137,1,MATCH($B$3,NORMATIVOS!$C$1:$W$1,0))</f>
        <v>Proyección</v>
      </c>
    </row>
    <row r="158" spans="1:3" x14ac:dyDescent="0.2">
      <c r="A158" t="s">
        <v>20</v>
      </c>
      <c r="B158" t="s">
        <v>153</v>
      </c>
      <c r="C158" t="str">
        <f>INDEX(NORMATIVOS!$C$138:$W$138,1,MATCH($B$3,NORMATIVOS!$C$1:$W$1,0))</f>
        <v>Proyección</v>
      </c>
    </row>
    <row r="159" spans="1:3" x14ac:dyDescent="0.2">
      <c r="A159" t="s">
        <v>20</v>
      </c>
      <c r="B159" t="s">
        <v>154</v>
      </c>
      <c r="C159" t="str">
        <f>INDEX(NORMATIVOS!$C$139:$W$139,1,MATCH($B$3,NORMATIVOS!$C$1:$W$1,0))</f>
        <v>Proyección</v>
      </c>
    </row>
    <row r="160" spans="1:3" x14ac:dyDescent="0.2">
      <c r="A160" t="s">
        <v>20</v>
      </c>
      <c r="B160" t="s">
        <v>155</v>
      </c>
      <c r="C160" t="str">
        <f>INDEX(NORMATIVOS!$C$140:$W$140,1,MATCH($B$3,NORMATIVOS!$C$1:$W$1,0))</f>
        <v>Proyección</v>
      </c>
    </row>
    <row r="161" spans="1:3" x14ac:dyDescent="0.2">
      <c r="A161" t="s">
        <v>20</v>
      </c>
      <c r="B161" t="s">
        <v>156</v>
      </c>
      <c r="C161" t="str">
        <f>INDEX(NORMATIVOS!$C$141:$W$141,1,MATCH($B$3,NORMATIVOS!$C$1:$W$1,0))</f>
        <v>Proyección</v>
      </c>
    </row>
    <row r="162" spans="1:3" x14ac:dyDescent="0.2">
      <c r="A162" t="s">
        <v>21</v>
      </c>
      <c r="B162" t="s">
        <v>157</v>
      </c>
      <c r="C162" t="str">
        <f>INDEX(NORMATIVOS!$C$144:$W$144,1,MATCH($B$3,NORMATIVOS!$C$1:$W$1,0))</f>
        <v>Proyección</v>
      </c>
    </row>
    <row r="163" spans="1:3" x14ac:dyDescent="0.2">
      <c r="A163" t="s">
        <v>21</v>
      </c>
      <c r="B163" t="s">
        <v>158</v>
      </c>
      <c r="C163" t="str">
        <f>INDEX(NORMATIVOS!$C$145:$W$145,1,MATCH($B$3,NORMATIVOS!$C$1:$W$1,0))</f>
        <v>Proyección</v>
      </c>
    </row>
    <row r="164" spans="1:3" x14ac:dyDescent="0.2">
      <c r="A164" t="s">
        <v>21</v>
      </c>
      <c r="B164" t="s">
        <v>159</v>
      </c>
      <c r="C164" t="str">
        <f>INDEX(NORMATIVOS!$C$146:$W$146,1,MATCH($B$3,NORMATIVOS!$C$1:$W$1,0))</f>
        <v>Proyección</v>
      </c>
    </row>
    <row r="165" spans="1:3" x14ac:dyDescent="0.2">
      <c r="A165" t="s">
        <v>21</v>
      </c>
      <c r="B165" t="s">
        <v>160</v>
      </c>
      <c r="C165" t="str">
        <f>INDEX(NORMATIVOS!$C$147:$W$147,1,MATCH($B$3,NORMATIVOS!$C$1:$W$1,0))</f>
        <v>Proyección</v>
      </c>
    </row>
    <row r="166" spans="1:3" x14ac:dyDescent="0.2">
      <c r="A166" t="s">
        <v>21</v>
      </c>
      <c r="B166" t="s">
        <v>161</v>
      </c>
      <c r="C166" t="str">
        <f>INDEX(NORMATIVOS!$C$148:$W$148,1,MATCH($B$3,NORMATIVOS!$C$1:$W$1,0))</f>
        <v>Proyección</v>
      </c>
    </row>
    <row r="167" spans="1:3" x14ac:dyDescent="0.2">
      <c r="A167" t="s">
        <v>21</v>
      </c>
      <c r="B167" t="s">
        <v>162</v>
      </c>
      <c r="C167" t="str">
        <f>INDEX(NORMATIVOS!$C$149:$W$149,1,MATCH($B$3,NORMATIVOS!$C$1:$W$1,0))</f>
        <v>Proyección</v>
      </c>
    </row>
    <row r="168" spans="1:3" x14ac:dyDescent="0.2">
      <c r="A168" t="s">
        <v>21</v>
      </c>
      <c r="B168" t="s">
        <v>163</v>
      </c>
      <c r="C168" t="str">
        <f>INDEX(NORMATIVOS!$C$150:$W$150,1,MATCH($B$3,NORMATIVOS!$C$1:$W$1,0))</f>
        <v>Proyección</v>
      </c>
    </row>
    <row r="169" spans="1:3" x14ac:dyDescent="0.2">
      <c r="A169" t="s">
        <v>22</v>
      </c>
      <c r="B169" t="s">
        <v>164</v>
      </c>
      <c r="C169" t="str">
        <f>INDEX(NORMATIVOS!$C$151:$W$151,1,MATCH($B$3,NORMATIVOS!$C$1:$W$1,0))</f>
        <v>Proyección</v>
      </c>
    </row>
    <row r="170" spans="1:3" x14ac:dyDescent="0.2">
      <c r="A170" t="s">
        <v>22</v>
      </c>
      <c r="B170" t="s">
        <v>47</v>
      </c>
      <c r="C170" t="str">
        <f>INDEX(NORMATIVOS!$C$152:$W$152,1,MATCH($B$3,NORMATIVOS!$C$1:$W$1,0))</f>
        <v>Proyección</v>
      </c>
    </row>
    <row r="171" spans="1:3" x14ac:dyDescent="0.2">
      <c r="A171" t="s">
        <v>22</v>
      </c>
      <c r="B171" t="s">
        <v>165</v>
      </c>
      <c r="C171" t="str">
        <f>INDEX(NORMATIVOS!$C$153:$W$153,1,MATCH($B$3,NORMATIVOS!$C$1:$W$1,0))</f>
        <v>Proyección</v>
      </c>
    </row>
    <row r="172" spans="1:3" x14ac:dyDescent="0.2">
      <c r="A172" t="s">
        <v>22</v>
      </c>
      <c r="B172" t="s">
        <v>166</v>
      </c>
      <c r="C172" t="str">
        <f>INDEX(NORMATIVOS!$C$154:$W$154,1,MATCH($B$3,NORMATIVOS!$C$1:$W$1,0))</f>
        <v>Proyección</v>
      </c>
    </row>
    <row r="173" spans="1:3" x14ac:dyDescent="0.2">
      <c r="A173" t="s">
        <v>22</v>
      </c>
      <c r="B173" t="s">
        <v>167</v>
      </c>
      <c r="C173" t="str">
        <f>INDEX(NORMATIVOS!$C$155:$W$155,1,MATCH($B$3,NORMATIVOS!$C$1:$W$1,0))</f>
        <v>Proyección</v>
      </c>
    </row>
    <row r="174" spans="1:3" x14ac:dyDescent="0.2">
      <c r="A174" t="s">
        <v>22</v>
      </c>
      <c r="B174" t="s">
        <v>168</v>
      </c>
      <c r="C174" t="str">
        <f>INDEX(NORMATIVOS!$C$156:$W$156,1,MATCH($B$3,NORMATIVOS!$C$1:$W$1,0))</f>
        <v>Proyección</v>
      </c>
    </row>
    <row r="175" spans="1:3" x14ac:dyDescent="0.2">
      <c r="A175" t="s">
        <v>22</v>
      </c>
      <c r="B175" t="s">
        <v>169</v>
      </c>
      <c r="C175" t="str">
        <f>INDEX(NORMATIVOS!$C$157:$W$157,1,MATCH($B$3,NORMATIVOS!$C$1:$W$1,0))</f>
        <v>Proyección</v>
      </c>
    </row>
    <row r="176" spans="1:3" x14ac:dyDescent="0.2">
      <c r="A176" t="s">
        <v>22</v>
      </c>
      <c r="B176" t="s">
        <v>170</v>
      </c>
      <c r="C176" t="str">
        <f>INDEX(NORMATIVOS!$C$158:$W$158,1,MATCH($B$3,NORMATIVOS!$C$1:$W$1,0))</f>
        <v>Proyección</v>
      </c>
    </row>
    <row r="177" spans="1:3" x14ac:dyDescent="0.2">
      <c r="A177" t="s">
        <v>22</v>
      </c>
      <c r="B177" t="s">
        <v>171</v>
      </c>
      <c r="C177" t="str">
        <f>INDEX(NORMATIVOS!$C$159:$W$159,1,MATCH($B$3,NORMATIVOS!$C$1:$W$1,0))</f>
        <v>Proyección</v>
      </c>
    </row>
    <row r="178" spans="1:3" x14ac:dyDescent="0.2">
      <c r="A178" t="s">
        <v>22</v>
      </c>
      <c r="B178" t="s">
        <v>172</v>
      </c>
      <c r="C178" t="str">
        <f>INDEX(NORMATIVOS!$C$160:$W$160,1,MATCH($B$3,NORMATIVOS!$C$1:$W$1,0))</f>
        <v>Proyección</v>
      </c>
    </row>
    <row r="179" spans="1:3" x14ac:dyDescent="0.2">
      <c r="A179" t="s">
        <v>22</v>
      </c>
      <c r="B179" t="s">
        <v>173</v>
      </c>
      <c r="C179" t="str">
        <f>INDEX(NORMATIVOS!$C$161:$W$161,1,MATCH($B$3,NORMATIVOS!$C$1:$W$1,0))</f>
        <v>Proyección</v>
      </c>
    </row>
    <row r="180" spans="1:3" x14ac:dyDescent="0.2">
      <c r="A180" t="s">
        <v>22</v>
      </c>
      <c r="B180" t="s">
        <v>174</v>
      </c>
      <c r="C180" t="str">
        <f>INDEX(NORMATIVOS!$C$162:$W$162,1,MATCH($B$3,NORMATIVOS!$C$1:$W$1,0))</f>
        <v>Proyección</v>
      </c>
    </row>
    <row r="181" spans="1:3" x14ac:dyDescent="0.2">
      <c r="A181" t="s">
        <v>22</v>
      </c>
      <c r="B181" t="s">
        <v>175</v>
      </c>
      <c r="C181" t="str">
        <f>INDEX(NORMATIVOS!$C$163:$W$163,1,MATCH($B$3,NORMATIVOS!$C$1:$W$1,0))</f>
        <v>Proyección</v>
      </c>
    </row>
    <row r="182" spans="1:3" x14ac:dyDescent="0.2">
      <c r="A182" t="s">
        <v>22</v>
      </c>
      <c r="B182" t="s">
        <v>176</v>
      </c>
      <c r="C182" t="str">
        <f>INDEX(NORMATIVOS!$C$164:$W$164,1,MATCH($B$3,NORMATIVOS!$C$1:$W$1,0))</f>
        <v>Proyección</v>
      </c>
    </row>
    <row r="183" spans="1:3" x14ac:dyDescent="0.2">
      <c r="A183" t="s">
        <v>22</v>
      </c>
      <c r="B183" t="s">
        <v>177</v>
      </c>
      <c r="C183" t="str">
        <f>INDEX(NORMATIVOS!$C$165:$W$165,1,MATCH($B$3,NORMATIVOS!$C$1:$W$1,0))</f>
        <v>Proyección</v>
      </c>
    </row>
    <row r="184" spans="1:3" x14ac:dyDescent="0.2">
      <c r="A184" t="s">
        <v>22</v>
      </c>
      <c r="B184" t="s">
        <v>178</v>
      </c>
      <c r="C184" t="str">
        <f>INDEX(NORMATIVOS!$C$166:$W$166,1,MATCH($B$3,NORMATIVOS!$C$1:$W$1,0))</f>
        <v>Proyección</v>
      </c>
    </row>
    <row r="185" spans="1:3" x14ac:dyDescent="0.2">
      <c r="A185" t="s">
        <v>22</v>
      </c>
      <c r="B185" t="s">
        <v>179</v>
      </c>
      <c r="C185" t="str">
        <f>INDEX(NORMATIVOS!$C$167:$W$167,1,MATCH($B$3,NORMATIVOS!$C$1:$W$1,0))</f>
        <v>Proyección</v>
      </c>
    </row>
    <row r="186" spans="1:3" x14ac:dyDescent="0.2">
      <c r="A186" t="s">
        <v>22</v>
      </c>
      <c r="B186" t="s">
        <v>180</v>
      </c>
      <c r="C186" t="str">
        <f>INDEX(NORMATIVOS!$C$168:$W$168,1,MATCH($B$3,NORMATIVOS!$C$1:$W$1,0))</f>
        <v>Proyección</v>
      </c>
    </row>
    <row r="187" spans="1:3" x14ac:dyDescent="0.2">
      <c r="A187" t="s">
        <v>22</v>
      </c>
      <c r="B187" t="s">
        <v>181</v>
      </c>
      <c r="C187" t="str">
        <f>INDEX(NORMATIVOS!$C$169:$W$169,1,MATCH($B$3,NORMATIVOS!$C$1:$W$1,0))</f>
        <v>Proyección</v>
      </c>
    </row>
    <row r="188" spans="1:3" x14ac:dyDescent="0.2">
      <c r="A188" t="s">
        <v>22</v>
      </c>
      <c r="B188" t="s">
        <v>182</v>
      </c>
      <c r="C188" t="str">
        <f>INDEX(NORMATIVOS!$C$170:$W$170,1,MATCH($B$3,NORMATIVOS!$C$1:$W$1,0))</f>
        <v>Proyección</v>
      </c>
    </row>
    <row r="189" spans="1:3" x14ac:dyDescent="0.2">
      <c r="A189" t="s">
        <v>22</v>
      </c>
      <c r="B189" t="s">
        <v>183</v>
      </c>
      <c r="C189" t="str">
        <f>INDEX(NORMATIVOS!$C$171:$W$171,1,MATCH($B$3,NORMATIVOS!$C$1:$W$1,0))</f>
        <v>Proyección</v>
      </c>
    </row>
    <row r="190" spans="1:3" x14ac:dyDescent="0.2">
      <c r="A190" t="s">
        <v>22</v>
      </c>
      <c r="B190" t="s">
        <v>184</v>
      </c>
      <c r="C190" t="str">
        <f>INDEX(NORMATIVOS!$C$172:$W$172,1,MATCH($B$3,NORMATIVOS!$C$1:$W$1,0))</f>
        <v>Proyección</v>
      </c>
    </row>
    <row r="191" spans="1:3" x14ac:dyDescent="0.2">
      <c r="A191" t="s">
        <v>23</v>
      </c>
      <c r="B191" t="s">
        <v>185</v>
      </c>
      <c r="C191" t="str">
        <f>INDEX(NORMATIVOS!$C$175:$W$175,1,MATCH($B$3,NORMATIVOS!$C$1:$W$1,0))</f>
        <v>Proyección</v>
      </c>
    </row>
    <row r="192" spans="1:3" x14ac:dyDescent="0.2">
      <c r="A192" t="s">
        <v>23</v>
      </c>
      <c r="B192" t="s">
        <v>186</v>
      </c>
      <c r="C192" t="str">
        <f>INDEX(NORMATIVOS!$C$176:$W$176,1,MATCH($B$3,NORMATIVOS!$C$1:$W$1,0))</f>
        <v>Proyección</v>
      </c>
    </row>
    <row r="193" spans="1:3" x14ac:dyDescent="0.2">
      <c r="A193" t="s">
        <v>23</v>
      </c>
      <c r="B193" t="s">
        <v>187</v>
      </c>
      <c r="C193" t="str">
        <f>INDEX(NORMATIVOS!$C$177:$W$177,1,MATCH($B$3,NORMATIVOS!$C$1:$W$1,0))</f>
        <v>Proyección</v>
      </c>
    </row>
    <row r="194" spans="1:3" x14ac:dyDescent="0.2">
      <c r="A194" t="s">
        <v>23</v>
      </c>
      <c r="B194" t="s">
        <v>188</v>
      </c>
      <c r="C194" t="str">
        <f>INDEX(NORMATIVOS!$C$178:$W$178,1,MATCH($B$3,NORMATIVOS!$C$1:$W$1,0))</f>
        <v>Proyección</v>
      </c>
    </row>
    <row r="195" spans="1:3" x14ac:dyDescent="0.2">
      <c r="A195" t="s">
        <v>23</v>
      </c>
      <c r="B195" t="s">
        <v>189</v>
      </c>
      <c r="C195" t="str">
        <f>INDEX(NORMATIVOS!$C$179:$W$179,1,MATCH($B$3,NORMATIVOS!$C$1:$W$1,0))</f>
        <v>Proyección</v>
      </c>
    </row>
    <row r="196" spans="1:3" x14ac:dyDescent="0.2">
      <c r="A196" t="s">
        <v>23</v>
      </c>
      <c r="B196" t="s">
        <v>140</v>
      </c>
      <c r="C196" t="str">
        <f>INDEX(NORMATIVOS!$C$180:$W$180,1,MATCH($B$3,NORMATIVOS!$C$1:$W$1,0))</f>
        <v>Proyección</v>
      </c>
    </row>
    <row r="197" spans="1:3" x14ac:dyDescent="0.2">
      <c r="A197" t="s">
        <v>23</v>
      </c>
      <c r="B197" t="s">
        <v>190</v>
      </c>
      <c r="C197" t="str">
        <f>INDEX(NORMATIVOS!$C$181:$W$181,1,MATCH($B$3,NORMATIVOS!$C$1:$W$1,0))</f>
        <v>Proyección</v>
      </c>
    </row>
    <row r="198" spans="1:3" x14ac:dyDescent="0.2">
      <c r="A198" t="s">
        <v>23</v>
      </c>
      <c r="B198" t="s">
        <v>191</v>
      </c>
      <c r="C198" t="str">
        <f>INDEX(NORMATIVOS!$C$182:$W$182,1,MATCH($B$3,NORMATIVOS!$C$1:$W$1,0))</f>
        <v>Proyección</v>
      </c>
    </row>
    <row r="199" spans="1:3" x14ac:dyDescent="0.2">
      <c r="A199" t="s">
        <v>23</v>
      </c>
      <c r="B199" t="s">
        <v>192</v>
      </c>
      <c r="C199" t="str">
        <f>INDEX(NORMATIVOS!$C$183:$W$183,1,MATCH($B$3,NORMATIVOS!$C$1:$W$1,0))</f>
        <v>Proyección</v>
      </c>
    </row>
    <row r="200" spans="1:3" x14ac:dyDescent="0.2">
      <c r="A200" t="s">
        <v>23</v>
      </c>
      <c r="B200" t="s">
        <v>193</v>
      </c>
      <c r="C200" t="str">
        <f>INDEX(NORMATIVOS!$C$184:$W$184,1,MATCH($B$3,NORMATIVOS!$C$1:$W$1,0))</f>
        <v>Proyección</v>
      </c>
    </row>
    <row r="201" spans="1:3" x14ac:dyDescent="0.2">
      <c r="A201" t="s">
        <v>23</v>
      </c>
      <c r="B201" t="s">
        <v>194</v>
      </c>
      <c r="C201" t="str">
        <f>INDEX(NORMATIVOS!$C$185:$W$185,1,MATCH($B$3,NORMATIVOS!$C$1:$W$1,0))</f>
        <v>Proyección</v>
      </c>
    </row>
    <row r="202" spans="1:3" x14ac:dyDescent="0.2">
      <c r="A202" t="s">
        <v>23</v>
      </c>
      <c r="B202" t="s">
        <v>195</v>
      </c>
      <c r="C202" t="str">
        <f>INDEX(NORMATIVOS!$C$186:$W$186,1,MATCH($B$3,NORMATIVOS!$C$1:$W$1,0))</f>
        <v>Proyección</v>
      </c>
    </row>
    <row r="203" spans="1:3" x14ac:dyDescent="0.2">
      <c r="A203" t="s">
        <v>23</v>
      </c>
      <c r="B203" t="s">
        <v>151</v>
      </c>
      <c r="C203" t="str">
        <f>INDEX(NORMATIVOS!$C$187:$W$187,1,MATCH($B$3,NORMATIVOS!$C$1:$W$1,0))</f>
        <v>Proyección</v>
      </c>
    </row>
    <row r="204" spans="1:3" x14ac:dyDescent="0.2">
      <c r="A204" t="s">
        <v>23</v>
      </c>
      <c r="B204" t="s">
        <v>196</v>
      </c>
      <c r="C204" t="str">
        <f>INDEX(NORMATIVOS!$C$188:$W$188,1,MATCH($B$3,NORMATIVOS!$C$1:$W$1,0))</f>
        <v>Proyección</v>
      </c>
    </row>
    <row r="205" spans="1:3" x14ac:dyDescent="0.2">
      <c r="A205" t="s">
        <v>23</v>
      </c>
      <c r="B205" t="s">
        <v>197</v>
      </c>
      <c r="C205" t="str">
        <f>INDEX(NORMATIVOS!$C$189:$W$189,1,MATCH($B$3,NORMATIVOS!$C$1:$W$1,0))</f>
        <v>Proyección</v>
      </c>
    </row>
    <row r="206" spans="1:3" x14ac:dyDescent="0.2">
      <c r="A206" t="s">
        <v>23</v>
      </c>
      <c r="B206" t="s">
        <v>198</v>
      </c>
      <c r="C206" t="str">
        <f>INDEX(NORMATIVOS!$C$190:$W$190,1,MATCH($B$3,NORMATIVOS!$C$1:$W$1,0))</f>
        <v>Proyección</v>
      </c>
    </row>
    <row r="207" spans="1:3" x14ac:dyDescent="0.2">
      <c r="A207" t="s">
        <v>23</v>
      </c>
      <c r="B207" t="s">
        <v>199</v>
      </c>
      <c r="C207" t="str">
        <f>INDEX(NORMATIVOS!$C$191:$W$191,1,MATCH($B$3,NORMATIVOS!$C$1:$W$1,0))</f>
        <v>Proyección</v>
      </c>
    </row>
    <row r="208" spans="1:3" x14ac:dyDescent="0.2">
      <c r="A208" t="s">
        <v>23</v>
      </c>
      <c r="B208" t="s">
        <v>200</v>
      </c>
      <c r="C208" t="str">
        <f>INDEX(NORMATIVOS!$C$192:$W$192,1,MATCH($B$3,NORMATIVOS!$C$1:$W$1,0))</f>
        <v>Proyección</v>
      </c>
    </row>
    <row r="209" spans="1:3" x14ac:dyDescent="0.2">
      <c r="A209" t="s">
        <v>24</v>
      </c>
      <c r="B209" t="s">
        <v>201</v>
      </c>
      <c r="C209" t="str">
        <f>INDEX(NORMATIVOS!$C$193:$W$193,1,MATCH($B$3,NORMATIVOS!$C$1:$W$1,0))</f>
        <v>Proyección</v>
      </c>
    </row>
    <row r="210" spans="1:3" x14ac:dyDescent="0.2">
      <c r="A210" t="s">
        <v>24</v>
      </c>
      <c r="B210" t="s">
        <v>129</v>
      </c>
      <c r="C210" t="str">
        <f>INDEX(NORMATIVOS!$C$194:$W$194,1,MATCH($B$3,NORMATIVOS!$C$1:$W$1,0))</f>
        <v>Proyección</v>
      </c>
    </row>
    <row r="211" spans="1:3" x14ac:dyDescent="0.2">
      <c r="A211" t="s">
        <v>24</v>
      </c>
      <c r="B211" t="s">
        <v>40</v>
      </c>
      <c r="C211" t="str">
        <f>INDEX(NORMATIVOS!$C$195:$W$195,1,MATCH($B$3,NORMATIVOS!$C$1:$W$1,0))</f>
        <v>Proyección</v>
      </c>
    </row>
    <row r="212" spans="1:3" x14ac:dyDescent="0.2">
      <c r="A212" t="s">
        <v>24</v>
      </c>
      <c r="B212" t="s">
        <v>185</v>
      </c>
      <c r="C212" t="str">
        <f>INDEX(NORMATIVOS!$C$196:$W$196,1,MATCH($B$3,NORMATIVOS!$C$1:$W$1,0))</f>
        <v>Proyección</v>
      </c>
    </row>
    <row r="213" spans="1:3" x14ac:dyDescent="0.2">
      <c r="A213" t="s">
        <v>24</v>
      </c>
      <c r="B213" t="s">
        <v>186</v>
      </c>
      <c r="C213" t="str">
        <f>INDEX(NORMATIVOS!$C$197:$W$197,1,MATCH($B$3,NORMATIVOS!$C$1:$W$1,0))</f>
        <v>Proyección</v>
      </c>
    </row>
    <row r="214" spans="1:3" x14ac:dyDescent="0.2">
      <c r="A214" t="s">
        <v>24</v>
      </c>
      <c r="B214" t="s">
        <v>202</v>
      </c>
      <c r="C214" t="str">
        <f>INDEX(NORMATIVOS!$C$198:$W$198,1,MATCH($B$3,NORMATIVOS!$C$1:$W$1,0))</f>
        <v>Proyección</v>
      </c>
    </row>
    <row r="215" spans="1:3" x14ac:dyDescent="0.2">
      <c r="A215" t="s">
        <v>24</v>
      </c>
      <c r="B215" t="s">
        <v>203</v>
      </c>
      <c r="C215" t="str">
        <f>INDEX(NORMATIVOS!$C$199:$W$199,1,MATCH($B$3,NORMATIVOS!$C$1:$W$1,0))</f>
        <v>Proyección</v>
      </c>
    </row>
    <row r="216" spans="1:3" x14ac:dyDescent="0.2">
      <c r="A216" t="s">
        <v>24</v>
      </c>
      <c r="B216" t="s">
        <v>204</v>
      </c>
      <c r="C216" t="str">
        <f>INDEX(NORMATIVOS!$C$200:$W$200,1,MATCH($B$3,NORMATIVOS!$C$1:$W$1,0))</f>
        <v>Proyección</v>
      </c>
    </row>
    <row r="217" spans="1:3" x14ac:dyDescent="0.2">
      <c r="A217" t="s">
        <v>24</v>
      </c>
      <c r="B217" t="s">
        <v>205</v>
      </c>
      <c r="C217" t="str">
        <f>INDEX(NORMATIVOS!$C$201:$W$201,1,MATCH($B$3,NORMATIVOS!$C$1:$W$1,0))</f>
        <v>Proyección</v>
      </c>
    </row>
    <row r="218" spans="1:3" x14ac:dyDescent="0.2">
      <c r="A218" t="s">
        <v>24</v>
      </c>
      <c r="B218" t="s">
        <v>206</v>
      </c>
      <c r="C218" t="str">
        <f>INDEX(NORMATIVOS!$C$202:$W$202,1,MATCH($B$3,NORMATIVOS!$C$1:$W$1,0))</f>
        <v>Proyección</v>
      </c>
    </row>
    <row r="219" spans="1:3" x14ac:dyDescent="0.2">
      <c r="A219" t="s">
        <v>24</v>
      </c>
      <c r="B219" t="s">
        <v>207</v>
      </c>
      <c r="C219" t="str">
        <f>INDEX(NORMATIVOS!$C$203:$W$203,1,MATCH($B$3,NORMATIVOS!$C$1:$W$1,0))</f>
        <v>Proyección</v>
      </c>
    </row>
    <row r="220" spans="1:3" x14ac:dyDescent="0.2">
      <c r="A220" t="s">
        <v>24</v>
      </c>
      <c r="B220" t="s">
        <v>208</v>
      </c>
      <c r="C220" t="str">
        <f>INDEX(NORMATIVOS!$C$204:$W$204,1,MATCH($B$3,NORMATIVOS!$C$1:$W$1,0))</f>
        <v>Proyección</v>
      </c>
    </row>
    <row r="221" spans="1:3" x14ac:dyDescent="0.2">
      <c r="A221" t="s">
        <v>24</v>
      </c>
      <c r="B221" t="s">
        <v>209</v>
      </c>
      <c r="C221" t="str">
        <f>INDEX(NORMATIVOS!$C$205:$W$205,1,MATCH($B$3,NORMATIVOS!$C$1:$W$1,0))</f>
        <v>Proyección</v>
      </c>
    </row>
    <row r="222" spans="1:3" x14ac:dyDescent="0.2">
      <c r="A222" t="s">
        <v>24</v>
      </c>
      <c r="B222" t="s">
        <v>210</v>
      </c>
      <c r="C222" t="str">
        <f>INDEX(NORMATIVOS!$C$206:$W$206,1,MATCH($B$3,NORMATIVOS!$C$1:$W$1,0))</f>
        <v>Proyección</v>
      </c>
    </row>
    <row r="223" spans="1:3" x14ac:dyDescent="0.2">
      <c r="A223" t="s">
        <v>24</v>
      </c>
      <c r="B223" t="s">
        <v>211</v>
      </c>
      <c r="C223" t="str">
        <f>INDEX(NORMATIVOS!$C$207:$W$207,1,MATCH($B$3,NORMATIVOS!$C$1:$W$1,0))</f>
        <v>Proyección</v>
      </c>
    </row>
    <row r="224" spans="1:3" x14ac:dyDescent="0.2">
      <c r="A224" t="s">
        <v>24</v>
      </c>
      <c r="B224" t="s">
        <v>212</v>
      </c>
      <c r="C224" t="str">
        <f>INDEX(NORMATIVOS!$C$208:$W$208,1,MATCH($B$3,NORMATIVOS!$C$1:$W$1,0))</f>
        <v>Proyección</v>
      </c>
    </row>
    <row r="225" spans="1:3" x14ac:dyDescent="0.2">
      <c r="A225" t="s">
        <v>24</v>
      </c>
      <c r="B225" t="s">
        <v>213</v>
      </c>
      <c r="C225" t="str">
        <f>INDEX(NORMATIVOS!$C$209:$W$209,1,MATCH($B$3,NORMATIVOS!$C$1:$W$1,0))</f>
        <v>Proyección</v>
      </c>
    </row>
    <row r="226" spans="1:3" x14ac:dyDescent="0.2">
      <c r="A226" t="s">
        <v>24</v>
      </c>
      <c r="B226" t="s">
        <v>214</v>
      </c>
      <c r="C226" t="str">
        <f>INDEX(NORMATIVOS!$C$210:$W$210,1,MATCH($B$3,NORMATIVOS!$C$1:$W$1,0))</f>
        <v>Proyección</v>
      </c>
    </row>
    <row r="227" spans="1:3" x14ac:dyDescent="0.2">
      <c r="A227" t="s">
        <v>24</v>
      </c>
      <c r="B227" t="s">
        <v>215</v>
      </c>
      <c r="C227" t="str">
        <f>INDEX(NORMATIVOS!$C$211:$W$211,1,MATCH($B$3,NORMATIVOS!$C$1:$W$1,0))</f>
        <v>Proyección</v>
      </c>
    </row>
    <row r="228" spans="1:3" x14ac:dyDescent="0.2">
      <c r="A228" t="s">
        <v>24</v>
      </c>
      <c r="B228" t="s">
        <v>216</v>
      </c>
      <c r="C228" t="str">
        <f>INDEX(NORMATIVOS!$C$212:$W$212,1,MATCH($B$3,NORMATIVOS!$C$1:$W$1,0))</f>
        <v>Proyección</v>
      </c>
    </row>
    <row r="229" spans="1:3" x14ac:dyDescent="0.2">
      <c r="A229" t="s">
        <v>24</v>
      </c>
      <c r="B229" t="s">
        <v>217</v>
      </c>
      <c r="C229" t="str">
        <f>INDEX(NORMATIVOS!$C$213:$W$213,1,MATCH($B$3,NORMATIVOS!$C$1:$W$1,0))</f>
        <v>Proyección</v>
      </c>
    </row>
    <row r="230" spans="1:3" x14ac:dyDescent="0.2">
      <c r="A230" t="s">
        <v>24</v>
      </c>
      <c r="B230" t="s">
        <v>218</v>
      </c>
      <c r="C230" t="str">
        <f>INDEX(NORMATIVOS!$C$214:$W$214,1,MATCH($B$3,NORMATIVOS!$C$1:$W$1,0))</f>
        <v>Proyección</v>
      </c>
    </row>
    <row r="231" spans="1:3" x14ac:dyDescent="0.2">
      <c r="A231" t="s">
        <v>24</v>
      </c>
      <c r="B231" t="s">
        <v>219</v>
      </c>
      <c r="C231" t="str">
        <f>INDEX(NORMATIVOS!$C$215:$W$215,1,MATCH($B$3,NORMATIVOS!$C$1:$W$1,0))</f>
        <v>Proyección</v>
      </c>
    </row>
    <row r="232" spans="1:3" x14ac:dyDescent="0.2">
      <c r="A232" t="s">
        <v>24</v>
      </c>
      <c r="B232" t="s">
        <v>220</v>
      </c>
      <c r="C232" t="str">
        <f>INDEX(NORMATIVOS!$C$216:$W$216,1,MATCH($B$3,NORMATIVOS!$C$1:$W$1,0))</f>
        <v>Proyección</v>
      </c>
    </row>
    <row r="233" spans="1:3" x14ac:dyDescent="0.2">
      <c r="A233" t="s">
        <v>25</v>
      </c>
      <c r="B233" t="s">
        <v>185</v>
      </c>
      <c r="C233" t="str">
        <f>INDEX(NORMATIVOS!$C$217:$N$217,1,MATCH($B$3,NORMATIVOS!$C$1:$W$1,0))</f>
        <v>Proyección</v>
      </c>
    </row>
    <row r="234" spans="1:3" x14ac:dyDescent="0.2">
      <c r="A234" t="s">
        <v>25</v>
      </c>
      <c r="B234" t="s">
        <v>186</v>
      </c>
      <c r="C234" t="str">
        <f>INDEX(NORMATIVOS!$C$218:$W$218,1,MATCH($B$3,NORMATIVOS!$C$1:$W$1,0))</f>
        <v>Proyección</v>
      </c>
    </row>
    <row r="235" spans="1:3" x14ac:dyDescent="0.2">
      <c r="A235" t="s">
        <v>25</v>
      </c>
      <c r="B235" t="s">
        <v>187</v>
      </c>
      <c r="C235" t="str">
        <f>INDEX(NORMATIVOS!$C$219:$W$219,1,MATCH($B$3,NORMATIVOS!$C$1:$W$1,0))</f>
        <v>Proyección</v>
      </c>
    </row>
    <row r="236" spans="1:3" x14ac:dyDescent="0.2">
      <c r="A236" t="s">
        <v>25</v>
      </c>
      <c r="B236" t="s">
        <v>147</v>
      </c>
      <c r="C236" t="str">
        <f>INDEX(NORMATIVOS!$C$220:$W$220,1,MATCH($B$3,NORMATIVOS!$C$1:$W$1,0))</f>
        <v>Proyección</v>
      </c>
    </row>
    <row r="237" spans="1:3" x14ac:dyDescent="0.2">
      <c r="A237" t="s">
        <v>25</v>
      </c>
      <c r="B237" t="s">
        <v>221</v>
      </c>
      <c r="C237" t="str">
        <f>INDEX(NORMATIVOS!$C$221:$W$221,1,MATCH($B$3,NORMATIVOS!$C$1:$W$1,0))</f>
        <v>Proyección</v>
      </c>
    </row>
    <row r="238" spans="1:3" x14ac:dyDescent="0.2">
      <c r="A238" t="s">
        <v>25</v>
      </c>
      <c r="B238" t="s">
        <v>222</v>
      </c>
      <c r="C238" t="str">
        <f>INDEX(NORMATIVOS!$C$222:$W$222,1,MATCH($B$3,NORMATIVOS!$C$1:$W$1,0))</f>
        <v>Proyección</v>
      </c>
    </row>
    <row r="239" spans="1:3" x14ac:dyDescent="0.2">
      <c r="A239" t="s">
        <v>25</v>
      </c>
      <c r="B239" t="s">
        <v>223</v>
      </c>
      <c r="C239" t="str">
        <f>INDEX(NORMATIVOS!$C$223:$W$223,1,MATCH($B$3,NORMATIVOS!$C$1:$W$1,0))</f>
        <v>Proyección</v>
      </c>
    </row>
    <row r="240" spans="1:3" x14ac:dyDescent="0.2">
      <c r="A240" t="s">
        <v>25</v>
      </c>
      <c r="B240" t="s">
        <v>224</v>
      </c>
      <c r="C240" t="str">
        <f>INDEX(NORMATIVOS!$C$224:$W$224,1,MATCH($B$3,NORMATIVOS!$C$1:$W$1,0))</f>
        <v>Proyección</v>
      </c>
    </row>
    <row r="241" spans="1:3" x14ac:dyDescent="0.2">
      <c r="A241" t="s">
        <v>25</v>
      </c>
      <c r="B241" t="s">
        <v>225</v>
      </c>
      <c r="C241" t="str">
        <f>INDEX(NORMATIVOS!$C$225:$W$225,1,MATCH($B$3,NORMATIVOS!$C$1:$W$1,0))</f>
        <v>Proyección</v>
      </c>
    </row>
    <row r="242" spans="1:3" x14ac:dyDescent="0.2">
      <c r="A242" t="s">
        <v>25</v>
      </c>
      <c r="B242" t="s">
        <v>226</v>
      </c>
      <c r="C242" t="str">
        <f>INDEX(NORMATIVOS!$C$226:$W$226,1,MATCH($B$3,NORMATIVOS!$C$1:$W$1,0))</f>
        <v>Proyección</v>
      </c>
    </row>
    <row r="243" spans="1:3" x14ac:dyDescent="0.2">
      <c r="A243" t="s">
        <v>25</v>
      </c>
      <c r="B243" t="s">
        <v>227</v>
      </c>
      <c r="C243" t="str">
        <f>INDEX(NORMATIVOS!$C$227:$W$227,1,MATCH($B$3,NORMATIVOS!$C$1:$W$1,0))</f>
        <v>Proyección</v>
      </c>
    </row>
    <row r="244" spans="1:3" x14ac:dyDescent="0.2">
      <c r="A244" t="s">
        <v>25</v>
      </c>
      <c r="B244" t="s">
        <v>228</v>
      </c>
      <c r="C244" t="str">
        <f>INDEX(NORMATIVOS!$C$228:$W$228,1,MATCH($B$3,NORMATIVOS!$C$1:$W$1,0))</f>
        <v>Proyección</v>
      </c>
    </row>
    <row r="245" spans="1:3" x14ac:dyDescent="0.2">
      <c r="A245" t="s">
        <v>25</v>
      </c>
      <c r="B245" t="s">
        <v>229</v>
      </c>
      <c r="C245" t="str">
        <f>INDEX(NORMATIVOS!$C$229:$W$229,1,MATCH($B$3,NORMATIVOS!$C$1:$W$1,0))</f>
        <v>Proyección</v>
      </c>
    </row>
    <row r="246" spans="1:3" x14ac:dyDescent="0.2">
      <c r="A246" t="s">
        <v>26</v>
      </c>
      <c r="B246" t="s">
        <v>230</v>
      </c>
      <c r="C246" t="str">
        <f>INDEX(NORMATIVOS!$C$232:$W$232,1,MATCH($B$3,NORMATIVOS!$C$1:$W$1,0))</f>
        <v>Proyección</v>
      </c>
    </row>
    <row r="247" spans="1:3" x14ac:dyDescent="0.2">
      <c r="A247" t="s">
        <v>26</v>
      </c>
      <c r="B247" t="s">
        <v>231</v>
      </c>
      <c r="C247" t="str">
        <f>INDEX(NORMATIVOS!$C$233:$W$233,1,MATCH($B$3,NORMATIVOS!$C$1:$W$1,0))</f>
        <v>Proyección</v>
      </c>
    </row>
    <row r="248" spans="1:3" x14ac:dyDescent="0.2">
      <c r="A248" t="s">
        <v>26</v>
      </c>
      <c r="B248" t="s">
        <v>137</v>
      </c>
      <c r="C248" t="str">
        <f>INDEX(NORMATIVOS!$C$234:$W$234,1,MATCH($B$3,NORMATIVOS!$C$1:$W$1,0))</f>
        <v>Proyección</v>
      </c>
    </row>
    <row r="249" spans="1:3" x14ac:dyDescent="0.2">
      <c r="A249" t="s">
        <v>26</v>
      </c>
      <c r="B249" t="s">
        <v>138</v>
      </c>
      <c r="C249" t="str">
        <f>INDEX(NORMATIVOS!$C$235:$W$235,1,MATCH($B$3,NORMATIVOS!$C$1:$W$1,0))</f>
        <v>Proyección</v>
      </c>
    </row>
    <row r="250" spans="1:3" x14ac:dyDescent="0.2">
      <c r="A250" t="s">
        <v>26</v>
      </c>
      <c r="B250" t="s">
        <v>232</v>
      </c>
      <c r="C250" t="str">
        <f>INDEX(NORMATIVOS!$C$236:$W$236,1,MATCH($B$3,NORMATIVOS!$C$1:$W$1,0))</f>
        <v>Proyección</v>
      </c>
    </row>
    <row r="251" spans="1:3" x14ac:dyDescent="0.2">
      <c r="A251" t="s">
        <v>26</v>
      </c>
      <c r="B251" t="s">
        <v>233</v>
      </c>
      <c r="C251" t="str">
        <f>INDEX(NORMATIVOS!$C$237:$W$237,1,MATCH($B$3,NORMATIVOS!$C$1:$W$1,0))</f>
        <v>Proyección</v>
      </c>
    </row>
    <row r="252" spans="1:3" x14ac:dyDescent="0.2">
      <c r="A252" t="s">
        <v>26</v>
      </c>
      <c r="B252" t="s">
        <v>234</v>
      </c>
      <c r="C252" t="str">
        <f>INDEX(NORMATIVOS!$C$238:$W$238,1,MATCH($B$3,NORMATIVOS!$C$1:$W$1,0))</f>
        <v>Proyección</v>
      </c>
    </row>
    <row r="253" spans="1:3" x14ac:dyDescent="0.2">
      <c r="A253" t="s">
        <v>26</v>
      </c>
      <c r="B253" t="s">
        <v>235</v>
      </c>
      <c r="C253" t="str">
        <f>INDEX(NORMATIVOS!$C$239:$W$239,1,MATCH($B$3,NORMATIVOS!$C$1:$W$1,0))</f>
        <v>Proyección</v>
      </c>
    </row>
    <row r="254" spans="1:3" x14ac:dyDescent="0.2">
      <c r="A254" t="s">
        <v>26</v>
      </c>
      <c r="B254" t="s">
        <v>236</v>
      </c>
      <c r="C254" t="str">
        <f>INDEX(NORMATIVOS!$C$240:$W$240,1,MATCH($B$3,NORMATIVOS!$C$1:$W$1,0))</f>
        <v>Proyección</v>
      </c>
    </row>
    <row r="255" spans="1:3" x14ac:dyDescent="0.2">
      <c r="A255" t="s">
        <v>26</v>
      </c>
      <c r="B255" t="s">
        <v>151</v>
      </c>
      <c r="C255" t="str">
        <f>INDEX(NORMATIVOS!$C$241:$W$241,1,MATCH($B$3,NORMATIVOS!$C$1:$W$1,0))</f>
        <v>Proyección</v>
      </c>
    </row>
    <row r="256" spans="1:3" x14ac:dyDescent="0.2">
      <c r="A256" t="s">
        <v>26</v>
      </c>
      <c r="B256" t="s">
        <v>150</v>
      </c>
      <c r="C256" t="str">
        <f>INDEX(NORMATIVOS!$C$242:$W$242,1,MATCH($B$3,NORMATIVOS!$C$1:$W$1,0))</f>
        <v>Proyección</v>
      </c>
    </row>
    <row r="257" spans="1:3" x14ac:dyDescent="0.2">
      <c r="A257" t="s">
        <v>26</v>
      </c>
      <c r="B257" t="s">
        <v>237</v>
      </c>
      <c r="C257" t="str">
        <f>INDEX(NORMATIVOS!$C$243:$W$243,1,MATCH($B$3,NORMATIVOS!$C$1:$W$1,0))</f>
        <v>Proyección</v>
      </c>
    </row>
    <row r="258" spans="1:3" x14ac:dyDescent="0.2">
      <c r="A258" t="s">
        <v>26</v>
      </c>
      <c r="B258" t="s">
        <v>207</v>
      </c>
      <c r="C258" t="str">
        <f>INDEX(NORMATIVOS!$C$244:$W$244,1,MATCH($B$3,NORMATIVOS!$C$1:$W$1,0))</f>
        <v>Proyección</v>
      </c>
    </row>
    <row r="259" spans="1:3" x14ac:dyDescent="0.2">
      <c r="A259" t="s">
        <v>26</v>
      </c>
      <c r="B259" t="s">
        <v>238</v>
      </c>
      <c r="C259" t="str">
        <f>INDEX(NORMATIVOS!$C$245:$W$245,1,MATCH($B$3,NORMATIVOS!$C$1:$W$1,0))</f>
        <v>Proyección</v>
      </c>
    </row>
    <row r="260" spans="1:3" x14ac:dyDescent="0.2">
      <c r="A260" t="s">
        <v>26</v>
      </c>
      <c r="B260" t="s">
        <v>239</v>
      </c>
      <c r="C260" t="str">
        <f>INDEX(NORMATIVOS!$C$246:$W$246,1,MATCH($B$3,NORMATIVOS!$C$1:$W$1,0))</f>
        <v>Proyección</v>
      </c>
    </row>
    <row r="261" spans="1:3" x14ac:dyDescent="0.2">
      <c r="A261" t="s">
        <v>26</v>
      </c>
      <c r="B261" t="s">
        <v>240</v>
      </c>
      <c r="C261" t="str">
        <f>INDEX(NORMATIVOS!$C$247:$W$247,1,MATCH($B$3,NORMATIVOS!$C$1:$W$1,0))</f>
        <v>Proyección</v>
      </c>
    </row>
    <row r="262" spans="1:3" x14ac:dyDescent="0.2">
      <c r="A262" t="s">
        <v>26</v>
      </c>
      <c r="B262" t="s">
        <v>241</v>
      </c>
      <c r="C262" t="str">
        <f>INDEX(NORMATIVOS!$C$248:$W$248,1,MATCH($B$3,NORMATIVOS!$C$1:$W$1,0))</f>
        <v>Proyección</v>
      </c>
    </row>
    <row r="263" spans="1:3" x14ac:dyDescent="0.2">
      <c r="A263" t="s">
        <v>26</v>
      </c>
      <c r="B263" t="s">
        <v>242</v>
      </c>
      <c r="C263" t="str">
        <f>INDEX(NORMATIVOS!$C$249:$W$249,1,MATCH($B$3,NORMATIVOS!$C$1:$W$1,0))</f>
        <v>Proyección</v>
      </c>
    </row>
    <row r="264" spans="1:3" x14ac:dyDescent="0.2">
      <c r="A264" t="s">
        <v>26</v>
      </c>
      <c r="B264" t="s">
        <v>243</v>
      </c>
      <c r="C264" t="str">
        <f>INDEX(NORMATIVOS!$C$250:$W$250,1,MATCH($B$3,NORMATIVOS!$C$1:$W$1,0))</f>
        <v>Proyección</v>
      </c>
    </row>
    <row r="265" spans="1:3" x14ac:dyDescent="0.2">
      <c r="A265" t="s">
        <v>26</v>
      </c>
      <c r="B265" t="s">
        <v>244</v>
      </c>
      <c r="C265" t="str">
        <f>INDEX(NORMATIVOS!$C$251:$W$251,1,MATCH($B$3,NORMATIVOS!$C$1:$W$1,0))</f>
        <v>Proyección</v>
      </c>
    </row>
    <row r="266" spans="1:3" x14ac:dyDescent="0.2">
      <c r="A266" t="s">
        <v>26</v>
      </c>
      <c r="B266" t="s">
        <v>245</v>
      </c>
      <c r="C266" t="str">
        <f>INDEX(NORMATIVOS!$C$252:$W$252,1,MATCH($B$3,NORMATIVOS!$C$1:$W$1,0))</f>
        <v>Proyección</v>
      </c>
    </row>
    <row r="267" spans="1:3" x14ac:dyDescent="0.2">
      <c r="A267" t="s">
        <v>26</v>
      </c>
      <c r="B267" t="s">
        <v>246</v>
      </c>
      <c r="C267" t="str">
        <f>INDEX(NORMATIVOS!$C$253:$W$253,1,MATCH($B$3,NORMATIVOS!$C$1:$W$1,0))</f>
        <v>Proyección</v>
      </c>
    </row>
    <row r="268" spans="1:3" x14ac:dyDescent="0.2">
      <c r="A268" t="s">
        <v>26</v>
      </c>
      <c r="B268" t="s">
        <v>247</v>
      </c>
      <c r="C268" t="str">
        <f>INDEX(NORMATIVOS!$C$254:$W$254,1,MATCH($B$3,NORMATIVOS!$C$1:$W$1,0))</f>
        <v>Proyección</v>
      </c>
    </row>
    <row r="269" spans="1:3" x14ac:dyDescent="0.2">
      <c r="A269" t="s">
        <v>26</v>
      </c>
      <c r="B269" t="s">
        <v>248</v>
      </c>
      <c r="C269" t="str">
        <f>INDEX(NORMATIVOS!$C$255:$W$255,1,MATCH($B$3,NORMATIVOS!$C$1:$W$1,0))</f>
        <v>Proyección</v>
      </c>
    </row>
    <row r="270" spans="1:3" x14ac:dyDescent="0.2">
      <c r="A270" t="s">
        <v>26</v>
      </c>
      <c r="B270" t="s">
        <v>249</v>
      </c>
      <c r="C270" t="str">
        <f>INDEX(NORMATIVOS!$C$256:$W$256,1,MATCH($B$3,NORMATIVOS!$C$1:$W$1,0))</f>
        <v>Proyección</v>
      </c>
    </row>
    <row r="271" spans="1:3" x14ac:dyDescent="0.2">
      <c r="A271" t="s">
        <v>26</v>
      </c>
      <c r="B271" t="s">
        <v>250</v>
      </c>
      <c r="C271" t="str">
        <f>INDEX(NORMATIVOS!$C$257:$W$257,1,MATCH($B$3,NORMATIVOS!$C$1:$W$1,0))</f>
        <v>Proyección</v>
      </c>
    </row>
    <row r="272" spans="1:3" x14ac:dyDescent="0.2">
      <c r="A272" t="s">
        <v>26</v>
      </c>
      <c r="B272" t="s">
        <v>251</v>
      </c>
      <c r="C272" t="str">
        <f>INDEX(NORMATIVOS!$C$258:$W$258,1,MATCH($B$3,NORMATIVOS!$C$1:$W$1,0))</f>
        <v>Proyección</v>
      </c>
    </row>
    <row r="273" spans="1:3" x14ac:dyDescent="0.2">
      <c r="A273" t="s">
        <v>26</v>
      </c>
      <c r="B273" t="s">
        <v>252</v>
      </c>
      <c r="C273" t="str">
        <f>INDEX(NORMATIVOS!$C$259:$W$259,1,MATCH($B$3,NORMATIVOS!$C$1:$W$1,0))</f>
        <v>Proyección</v>
      </c>
    </row>
    <row r="274" spans="1:3" x14ac:dyDescent="0.2">
      <c r="A274" t="s">
        <v>27</v>
      </c>
      <c r="B274" t="s">
        <v>253</v>
      </c>
      <c r="C274" t="str">
        <f>INDEX(NORMATIVOS!$C$260:$W$260,1,MATCH($B$3,NORMATIVOS!$C$1:$W$1,0))</f>
        <v>Proyección</v>
      </c>
    </row>
    <row r="275" spans="1:3" x14ac:dyDescent="0.2">
      <c r="A275" t="s">
        <v>27</v>
      </c>
      <c r="B275" t="s">
        <v>254</v>
      </c>
      <c r="C275" t="str">
        <f>INDEX(NORMATIVOS!$C$261:$W$261,1,MATCH($B$3,NORMATIVOS!$C$1:$W$1,0))</f>
        <v>Proyección</v>
      </c>
    </row>
    <row r="276" spans="1:3" x14ac:dyDescent="0.2">
      <c r="A276" t="s">
        <v>27</v>
      </c>
      <c r="B276" t="s">
        <v>255</v>
      </c>
      <c r="C276" t="str">
        <f>INDEX(NORMATIVOS!$C$262:$W$262,1,MATCH($B$3,NORMATIVOS!$C$1:$W$1,0))</f>
        <v>Proyección</v>
      </c>
    </row>
    <row r="277" spans="1:3" x14ac:dyDescent="0.2">
      <c r="A277" t="s">
        <v>27</v>
      </c>
      <c r="B277" t="s">
        <v>256</v>
      </c>
      <c r="C277" t="str">
        <f>INDEX(NORMATIVOS!$C$263:$W$263,1,MATCH($B$3,NORMATIVOS!$C$1:$W$1,0))</f>
        <v>Proyección</v>
      </c>
    </row>
    <row r="278" spans="1:3" x14ac:dyDescent="0.2">
      <c r="A278" t="s">
        <v>27</v>
      </c>
      <c r="B278" t="s">
        <v>257</v>
      </c>
      <c r="C278" t="str">
        <f>INDEX(NORMATIVOS!$C$264:$W$264,1,MATCH($B$3,NORMATIVOS!$C$1:$W$1,0))</f>
        <v>Proyección</v>
      </c>
    </row>
    <row r="279" spans="1:3" x14ac:dyDescent="0.2">
      <c r="A279" t="s">
        <v>27</v>
      </c>
      <c r="B279" t="s">
        <v>258</v>
      </c>
      <c r="C279" t="str">
        <f>INDEX(NORMATIVOS!$C$265:$W$265,1,MATCH($B$3,NORMATIVOS!$C$1:$W$1,0))</f>
        <v>Proyección</v>
      </c>
    </row>
    <row r="280" spans="1:3" x14ac:dyDescent="0.2">
      <c r="A280" t="s">
        <v>27</v>
      </c>
      <c r="B280" t="s">
        <v>259</v>
      </c>
      <c r="C280" t="str">
        <f>INDEX(NORMATIVOS!$C$266:$W$266,1,MATCH($B$3,NORMATIVOS!$C$1:$W$1,0))</f>
        <v>Proyección</v>
      </c>
    </row>
    <row r="281" spans="1:3" x14ac:dyDescent="0.2">
      <c r="A281" t="s">
        <v>27</v>
      </c>
      <c r="B281" t="s">
        <v>260</v>
      </c>
      <c r="C281" t="str">
        <f>INDEX(NORMATIVOS!$C$267:$W$267,1,MATCH($B$3,NORMATIVOS!$C$1:$W$1,0))</f>
        <v>Proyección</v>
      </c>
    </row>
    <row r="282" spans="1:3" x14ac:dyDescent="0.2">
      <c r="A282" t="s">
        <v>27</v>
      </c>
      <c r="B282" t="s">
        <v>261</v>
      </c>
      <c r="C282" t="str">
        <f>INDEX(NORMATIVOS!$C$268:$W$268,1,MATCH($B$3,NORMATIVOS!$C$1:$W$1,0))</f>
        <v>Proyección</v>
      </c>
    </row>
    <row r="283" spans="1:3" x14ac:dyDescent="0.2">
      <c r="A283" t="s">
        <v>27</v>
      </c>
      <c r="B283" t="s">
        <v>262</v>
      </c>
      <c r="C283" t="str">
        <f>INDEX(NORMATIVOS!$C$269:$W$269,1,MATCH($B$3,NORMATIVOS!$C$1:$W$1,0))</f>
        <v>Proyección</v>
      </c>
    </row>
    <row r="284" spans="1:3" x14ac:dyDescent="0.2">
      <c r="A284" t="s">
        <v>27</v>
      </c>
      <c r="B284" t="s">
        <v>263</v>
      </c>
      <c r="C284" t="str">
        <f>INDEX(NORMATIVOS!$C$270:$W$270,1,MATCH($B$3,NORMATIVOS!$C$1:$W$1,0))</f>
        <v>Proyección</v>
      </c>
    </row>
    <row r="285" spans="1:3" x14ac:dyDescent="0.2">
      <c r="A285" t="s">
        <v>27</v>
      </c>
      <c r="B285" t="s">
        <v>264</v>
      </c>
      <c r="C285" t="str">
        <f>INDEX(NORMATIVOS!$C$271:$W$271,1,MATCH($B$3,NORMATIVOS!$C$1:$W$1,0))</f>
        <v>Proyección</v>
      </c>
    </row>
    <row r="286" spans="1:3" x14ac:dyDescent="0.2">
      <c r="A286" t="s">
        <v>27</v>
      </c>
      <c r="B286" t="s">
        <v>265</v>
      </c>
      <c r="C286" t="str">
        <f>INDEX(NORMATIVOS!$C$272:$W$272,1,MATCH($B$3,NORMATIVOS!$C$1:$W$1,0))</f>
        <v>Proyección</v>
      </c>
    </row>
    <row r="287" spans="1:3" x14ac:dyDescent="0.2">
      <c r="A287" t="s">
        <v>27</v>
      </c>
      <c r="B287" t="s">
        <v>266</v>
      </c>
      <c r="C287" t="str">
        <f>INDEX(NORMATIVOS!$C$273:$W$273,1,MATCH($B$3,NORMATIVOS!$C$1:$W$1,0))</f>
        <v>Proyección</v>
      </c>
    </row>
    <row r="288" spans="1:3" x14ac:dyDescent="0.2">
      <c r="A288" t="s">
        <v>27</v>
      </c>
      <c r="B288" t="s">
        <v>267</v>
      </c>
      <c r="C288" t="str">
        <f>INDEX(NORMATIVOS!$C$274:$W$274,1,MATCH($B$3,NORMATIVOS!$C$1:$W$1,0))</f>
        <v>Proyección</v>
      </c>
    </row>
    <row r="289" spans="1:3" x14ac:dyDescent="0.2">
      <c r="A289" t="s">
        <v>27</v>
      </c>
      <c r="B289" t="s">
        <v>268</v>
      </c>
      <c r="C289" t="str">
        <f>INDEX(NORMATIVOS!$C$275:$W$275,1,MATCH($B$3,NORMATIVOS!$C$1:$W$1,0))</f>
        <v>Proyección</v>
      </c>
    </row>
    <row r="290" spans="1:3" x14ac:dyDescent="0.2">
      <c r="A290" t="s">
        <v>27</v>
      </c>
      <c r="B290" t="s">
        <v>269</v>
      </c>
      <c r="C290" t="str">
        <f>INDEX(NORMATIVOS!$C$276:$W$276,1,MATCH($B$3,NORMATIVOS!$C$1:$W$1,0))</f>
        <v>Proyección</v>
      </c>
    </row>
  </sheetData>
  <mergeCells count="2">
    <mergeCell ref="A25:C25"/>
    <mergeCell ref="A1:H1"/>
  </mergeCells>
  <conditionalFormatting sqref="C27:C290">
    <cfRule type="expression" dxfId="8" priority="1">
      <formula>C27="Consolidado"</formula>
    </cfRule>
    <cfRule type="expression" dxfId="7" priority="2">
      <formula>C27="En proceso"</formula>
    </cfRule>
    <cfRule type="expression" dxfId="6" priority="3">
      <formula>C27="Proyección"</formula>
    </cfRule>
    <cfRule type="expression" dxfId="5" priority="4">
      <formula>C27="N/A"</formula>
    </cfRule>
  </conditionalFormatting>
  <dataValidations count="1">
    <dataValidation type="list" showInputMessage="1" showErrorMessage="1" errorTitle="Atleta no válido" error="Selecciona un atleta de la lista de NORMATIVOS." promptTitle="Seleccionar atleta" prompt="Selecciona aquí el atleta cuya ficha quieres consultar." sqref="B3" xr:uid="{00000000-0002-0000-0100-000000000000}">
      <formula1>ListaAtletas</formula1>
    </dataValidation>
  </dataValidations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7"/>
  <sheetViews>
    <sheetView showGridLines="0" zoomScale="90" workbookViewId="0">
      <selection sqref="A1:H1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5" customWidth="1"/>
    <col min="4" max="4" width="20" customWidth="1"/>
    <col min="5" max="5" width="14" customWidth="1"/>
    <col min="6" max="8" width="4" customWidth="1"/>
  </cols>
  <sheetData>
    <row r="1" spans="1:8" ht="22" customHeight="1" x14ac:dyDescent="0.3">
      <c r="A1" s="52" t="s">
        <v>324</v>
      </c>
      <c r="B1" s="51"/>
      <c r="C1" s="51"/>
      <c r="D1" s="51"/>
      <c r="E1" s="51"/>
      <c r="F1" s="51"/>
      <c r="G1" s="51"/>
      <c r="H1" s="51"/>
    </row>
    <row r="3" spans="1:8" ht="19" customHeight="1" x14ac:dyDescent="0.25">
      <c r="A3" s="14" t="s">
        <v>325</v>
      </c>
      <c r="B3" s="16">
        <f>COUNTA(CONSOLIDADO!$A$4:$A$103)</f>
        <v>100</v>
      </c>
      <c r="D3" s="11" t="s">
        <v>30</v>
      </c>
      <c r="E3" s="11" t="s">
        <v>326</v>
      </c>
    </row>
    <row r="4" spans="1:8" ht="19" customHeight="1" x14ac:dyDescent="0.25">
      <c r="A4" s="14" t="s">
        <v>327</v>
      </c>
      <c r="B4" s="17">
        <f>AVERAGE(CONSOLIDADO!$G$4:$G$103)</f>
        <v>0</v>
      </c>
      <c r="D4" t="s">
        <v>15</v>
      </c>
      <c r="E4">
        <f>SUM(CONSOLIDADO!$F$4:$F$103)</f>
        <v>0</v>
      </c>
    </row>
    <row r="5" spans="1:8" ht="19" customHeight="1" x14ac:dyDescent="0.25">
      <c r="A5" s="14" t="s">
        <v>328</v>
      </c>
      <c r="B5" s="16">
        <f>SUM(CONSOLIDADO!$C$4:$C$103)</f>
        <v>0</v>
      </c>
      <c r="D5" t="s">
        <v>7</v>
      </c>
      <c r="E5">
        <f>SUM(CONSOLIDADO!$E$4:$E$103)</f>
        <v>1584</v>
      </c>
    </row>
    <row r="6" spans="1:8" ht="19" customHeight="1" x14ac:dyDescent="0.25">
      <c r="A6" s="14" t="s">
        <v>329</v>
      </c>
      <c r="B6" s="16">
        <f>SUM(CONSOLIDADO!$D$4:$D$103)</f>
        <v>0</v>
      </c>
      <c r="D6" t="s">
        <v>6</v>
      </c>
      <c r="E6">
        <f>SUM(CONSOLIDADO!$D$4:$D$103)</f>
        <v>0</v>
      </c>
    </row>
    <row r="7" spans="1:8" x14ac:dyDescent="0.2">
      <c r="D7" t="s">
        <v>5</v>
      </c>
      <c r="E7">
        <f>SUM(CONSOLIDADO!$C$4:$C$103)</f>
        <v>0</v>
      </c>
    </row>
    <row r="10" spans="1:8" x14ac:dyDescent="0.2">
      <c r="A10" s="50" t="s">
        <v>330</v>
      </c>
      <c r="B10" s="51"/>
    </row>
    <row r="11" spans="1:8" x14ac:dyDescent="0.2">
      <c r="A11" s="10" t="s">
        <v>4</v>
      </c>
      <c r="B11" s="10" t="s">
        <v>8</v>
      </c>
    </row>
    <row r="12" spans="1:8" x14ac:dyDescent="0.2">
      <c r="A12" t="s">
        <v>10</v>
      </c>
      <c r="B12" s="15">
        <f>IFERROR(COUNTIF(NORMATIVOS!$C$3:$N$16,"Consolidado")/(COUNTA(NORMATIVOS!$C$3:$N$16)-COUNTIF(NORMATIVOS!$C$3:$N$16,"N/A")),0)</f>
        <v>0</v>
      </c>
    </row>
    <row r="13" spans="1:8" x14ac:dyDescent="0.2">
      <c r="A13" t="s">
        <v>12</v>
      </c>
      <c r="B13" s="15">
        <f>IFERROR(COUNTIF(NORMATIVOS!$C$17:$N$27,"Consolidado")/(COUNTA(NORMATIVOS!$C$17:$N$27)-COUNTIF(NORMATIVOS!$C$17:$N$27,"N/A")),0)</f>
        <v>0</v>
      </c>
    </row>
    <row r="14" spans="1:8" x14ac:dyDescent="0.2">
      <c r="A14" t="s">
        <v>13</v>
      </c>
      <c r="B14" s="15">
        <f>IFERROR(COUNTIF(NORMATIVOS!$C$28:$N$37,"Consolidado")/(COUNTA(NORMATIVOS!$C$28:$N$37)-COUNTIF(NORMATIVOS!$C$28:$N$37,"N/A")),0)</f>
        <v>0</v>
      </c>
    </row>
    <row r="15" spans="1:8" x14ac:dyDescent="0.2">
      <c r="A15" t="s">
        <v>14</v>
      </c>
      <c r="B15" s="15">
        <f>IFERROR(COUNTIF(NORMATIVOS!$C$38:$N$46,"Consolidado")/(COUNTA(NORMATIVOS!$C$38:$N$46)-COUNTIF(NORMATIVOS!$C$38:$N$46,"N/A")),0)</f>
        <v>0</v>
      </c>
    </row>
    <row r="16" spans="1:8" x14ac:dyDescent="0.2">
      <c r="A16" t="s">
        <v>16</v>
      </c>
      <c r="B16" s="15">
        <f>IFERROR(COUNTIF(NORMATIVOS!$C$49:$N$64,"Consolidado")/(COUNTA(NORMATIVOS!$C$49:$N$64)-COUNTIF(NORMATIVOS!$C$49:$N$64,"N/A")),0)</f>
        <v>0</v>
      </c>
    </row>
    <row r="17" spans="1:2" x14ac:dyDescent="0.2">
      <c r="A17" t="s">
        <v>17</v>
      </c>
      <c r="B17" s="15">
        <f>IFERROR(COUNTIF(NORMATIVOS!$C$65:$N$78,"Consolidado")/(COUNTA(NORMATIVOS!$C$65:$N$78)-COUNTIF(NORMATIVOS!$C$65:$N$78,"N/A")),0)</f>
        <v>0</v>
      </c>
    </row>
    <row r="18" spans="1:2" x14ac:dyDescent="0.2">
      <c r="A18" t="s">
        <v>18</v>
      </c>
      <c r="B18" s="15">
        <f>IFERROR(COUNTIF(NORMATIVOS!$C$79:$N$104,"Consolidado")/(COUNTA(NORMATIVOS!$C$79:$N$104)-COUNTIF(NORMATIVOS!$C$79:$N$104,"N/A")),0)</f>
        <v>0</v>
      </c>
    </row>
    <row r="19" spans="1:2" x14ac:dyDescent="0.2">
      <c r="A19" t="s">
        <v>19</v>
      </c>
      <c r="B19" s="15">
        <f>IFERROR(COUNTIF(NORMATIVOS!$C$107:$N$121,"Consolidado")/(COUNTA(NORMATIVOS!$C$107:$N$121)-COUNTIF(NORMATIVOS!$C$107:$N$121,"N/A")),0)</f>
        <v>0</v>
      </c>
    </row>
    <row r="20" spans="1:2" x14ac:dyDescent="0.2">
      <c r="A20" t="s">
        <v>20</v>
      </c>
      <c r="B20" s="15">
        <f>IFERROR(COUNTIF(NORMATIVOS!$C$122:$N$141,"Consolidado")/(COUNTA(NORMATIVOS!$C$122:$N$141)-COUNTIF(NORMATIVOS!$C$122:$N$141,"N/A")),0)</f>
        <v>0</v>
      </c>
    </row>
    <row r="21" spans="1:2" x14ac:dyDescent="0.2">
      <c r="A21" t="s">
        <v>21</v>
      </c>
      <c r="B21" s="15">
        <f>IFERROR(COUNTIF(NORMATIVOS!$C$144:$N$150,"Consolidado")/(COUNTA(NORMATIVOS!$C$144:$N$150)-COUNTIF(NORMATIVOS!$C$144:$N$150,"N/A")),0)</f>
        <v>0</v>
      </c>
    </row>
    <row r="22" spans="1:2" x14ac:dyDescent="0.2">
      <c r="A22" t="s">
        <v>22</v>
      </c>
      <c r="B22" s="15">
        <f>IFERROR(COUNTIF(NORMATIVOS!$C$151:$N$172,"Consolidado")/(COUNTA(NORMATIVOS!$C$151:$N$172)-COUNTIF(NORMATIVOS!$C$151:$N$172,"N/A")),0)</f>
        <v>0</v>
      </c>
    </row>
    <row r="23" spans="1:2" x14ac:dyDescent="0.2">
      <c r="A23" t="s">
        <v>23</v>
      </c>
      <c r="B23" s="15">
        <f>IFERROR(COUNTIF(NORMATIVOS!$C$175:$N$192,"Consolidado")/(COUNTA(NORMATIVOS!$C$175:$N$192)-COUNTIF(NORMATIVOS!$C$175:$N$192,"N/A")),0)</f>
        <v>0</v>
      </c>
    </row>
    <row r="24" spans="1:2" x14ac:dyDescent="0.2">
      <c r="A24" t="s">
        <v>24</v>
      </c>
      <c r="B24" s="15">
        <f>IFERROR(COUNTIF(NORMATIVOS!$C$193:$N$216,"Consolidado")/(COUNTA(NORMATIVOS!$C$193:$N$216)-COUNTIF(NORMATIVOS!$C$193:$N$216,"N/A")),0)</f>
        <v>0</v>
      </c>
    </row>
    <row r="25" spans="1:2" x14ac:dyDescent="0.2">
      <c r="A25" t="s">
        <v>25</v>
      </c>
      <c r="B25" s="15">
        <f>IFERROR(COUNTIF(NORMATIVOS!$C$217:$N$229,"Consolidado")/(COUNTA(NORMATIVOS!$C$217:$N$229)-COUNTIF(NORMATIVOS!$C$217:$N$229,"N/A")),0)</f>
        <v>0</v>
      </c>
    </row>
    <row r="26" spans="1:2" x14ac:dyDescent="0.2">
      <c r="A26" t="s">
        <v>26</v>
      </c>
      <c r="B26" s="15">
        <f>IFERROR(COUNTIF(NORMATIVOS!$C$232:$N$259,"Consolidado")/(COUNTA(NORMATIVOS!$C$232:$N$259)-COUNTIF(NORMATIVOS!$C$232:$N$259,"N/A")),0)</f>
        <v>0</v>
      </c>
    </row>
    <row r="27" spans="1:2" x14ac:dyDescent="0.2">
      <c r="A27" t="s">
        <v>27</v>
      </c>
      <c r="B27" s="15">
        <f>IFERROR(COUNTIF(NORMATIVOS!$C$260:$N$276,"Consolidado")/(COUNTA(NORMATIVOS!$C$260:$N$276)-COUNTIF(NORMATIVOS!$C$260:$N$276,"N/A")),0)</f>
        <v>0</v>
      </c>
    </row>
  </sheetData>
  <mergeCells count="2">
    <mergeCell ref="A10:B10"/>
    <mergeCell ref="A1:H1"/>
  </mergeCells>
  <pageMargins left="0.75" right="0.75" top="1" bottom="1" header="0.5" footer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03"/>
  <sheetViews>
    <sheetView showGridLines="0" zoomScale="141" workbookViewId="0">
      <pane ySplit="3" topLeftCell="A4" activePane="bottomLeft" state="frozen"/>
      <selection activeCell="D1" sqref="D1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5" width="14" customWidth="1"/>
    <col min="6" max="6" width="10" customWidth="1"/>
    <col min="7" max="7" width="13" customWidth="1"/>
    <col min="8" max="8" width="24" style="40" customWidth="1"/>
  </cols>
  <sheetData>
    <row r="1" spans="1:8" ht="22" customHeight="1" x14ac:dyDescent="0.3">
      <c r="A1" s="52" t="s">
        <v>331</v>
      </c>
      <c r="B1" s="51"/>
      <c r="C1" s="51"/>
      <c r="D1" s="51"/>
      <c r="E1" s="51"/>
      <c r="F1" s="51"/>
      <c r="G1" s="51"/>
      <c r="H1" s="98"/>
    </row>
    <row r="2" spans="1:8" ht="16" customHeight="1" thickBot="1" x14ac:dyDescent="0.25"/>
    <row r="3" spans="1:8" ht="16" customHeight="1" x14ac:dyDescent="0.2">
      <c r="A3" s="11" t="s">
        <v>332</v>
      </c>
      <c r="B3" s="11" t="s">
        <v>9</v>
      </c>
      <c r="C3" s="11" t="s">
        <v>11</v>
      </c>
      <c r="D3" s="11" t="s">
        <v>6</v>
      </c>
      <c r="E3" s="11" t="s">
        <v>7</v>
      </c>
      <c r="F3" s="11" t="s">
        <v>15</v>
      </c>
      <c r="G3" s="11" t="s">
        <v>8</v>
      </c>
      <c r="H3" s="41" t="s">
        <v>333</v>
      </c>
    </row>
    <row r="4" spans="1:8" x14ac:dyDescent="0.2">
      <c r="A4" s="12" t="str">
        <f>IFERROR(IF(INDEX(NORMATIVOS!$C$1:$N$1,1,ROWS($A$4:A4))="","",INDEX(NORMATIVOS!$C$1:$N$1,1,ROWS($A$4:A4))),"")</f>
        <v>Renato Garcia</v>
      </c>
      <c r="B4" s="12">
        <f>IF($A4="","",COUNTA(INDEX(NORMATIVOS!$C$3:$N$276,0,ROWS($A$4:A4))))</f>
        <v>264</v>
      </c>
      <c r="C4" s="12">
        <f>IF($A4="","",COUNTIF(INDEX(NORMATIVOS!$C$3:$N$276,0,ROWS($A$4:A4)),"Consolidado"))</f>
        <v>0</v>
      </c>
      <c r="D4" s="12">
        <f>IF($A4="","",COUNTIF(INDEX(NORMATIVOS!$C$3:$N$276,0,ROWS($A$4:A4)),"En proceso"))</f>
        <v>0</v>
      </c>
      <c r="E4" s="12">
        <f>IF($A4="","",COUNTIF(INDEX(NORMATIVOS!$C$3:$N$276,0,ROWS($A$4:A4)),"Proyección"))</f>
        <v>264</v>
      </c>
      <c r="F4" s="12">
        <f>IF($A4="","",COUNTIF(INDEX(NORMATIVOS!$C$3:$N$276,0,ROWS($A$4:A4)),"N/A"))</f>
        <v>0</v>
      </c>
      <c r="G4" s="13">
        <f t="shared" ref="G4:G35" si="0">IF($A4="","",IFERROR(C4/(B4-F4),0))</f>
        <v>0</v>
      </c>
      <c r="H4" s="42" t="str">
        <f t="shared" ref="H4:H35" si="1">IF($A4="","",IF(G4&gt;=0.8,"Alto avance",IF(G4&gt;=0.5,"Avance medio",IF(G4&gt;=0.3,"Avance inicial",IF(G4&gt;=0.1,"Base solida","Base inicial")))))</f>
        <v>Base inicial</v>
      </c>
    </row>
    <row r="5" spans="1:8" x14ac:dyDescent="0.2">
      <c r="A5" s="12" t="str">
        <f>IFERROR(IF(INDEX(NORMATIVOS!$C$1:$N$1,1,ROWS($A$4:A5))="","",INDEX(NORMATIVOS!$C$1:$N$1,1,ROWS($A$4:A5))),"")</f>
        <v>Krishna Vargas</v>
      </c>
      <c r="B5" s="12">
        <f>IF($A5="","",COUNTA(INDEX(NORMATIVOS!$C$3:$N$276,0,ROWS($A$4:A5))))</f>
        <v>264</v>
      </c>
      <c r="C5" s="12">
        <f>IF($A5="","",COUNTIF(INDEX(NORMATIVOS!$C$3:$N$276,0,ROWS($A$4:A5)),"Consolidado"))</f>
        <v>0</v>
      </c>
      <c r="D5" s="12">
        <f>IF($A5="","",COUNTIF(INDEX(NORMATIVOS!$C$3:$N$276,0,ROWS($A$4:A5)),"En proceso"))</f>
        <v>0</v>
      </c>
      <c r="E5" s="12">
        <f>IF($A5="","",COUNTIF(INDEX(NORMATIVOS!$C$3:$N$276,0,ROWS($A$4:A5)),"Proyección"))</f>
        <v>264</v>
      </c>
      <c r="F5" s="12">
        <f>IF($A5="","",COUNTIF(INDEX(NORMATIVOS!$C$3:$N$276,0,ROWS($A$4:A5)),"N/A"))</f>
        <v>0</v>
      </c>
      <c r="G5" s="13">
        <f t="shared" si="0"/>
        <v>0</v>
      </c>
      <c r="H5" s="42" t="str">
        <f t="shared" si="1"/>
        <v>Base inicial</v>
      </c>
    </row>
    <row r="6" spans="1:8" x14ac:dyDescent="0.2">
      <c r="A6" s="12" t="str">
        <f>IFERROR(IF(INDEX(NORMATIVOS!$C$1:$N$1,1,ROWS($A$4:A6))="","",INDEX(NORMATIVOS!$C$1:$N$1,1,ROWS($A$4:A6))),"")</f>
        <v>Adolfo Sochiro</v>
      </c>
      <c r="B6" s="12">
        <f>IF($A6="","",COUNTA(INDEX(NORMATIVOS!$C$3:$N$276,0,ROWS($A$4:A6))))</f>
        <v>264</v>
      </c>
      <c r="C6" s="12">
        <f>IF($A6="","",COUNTIF(INDEX(NORMATIVOS!$C$3:$N$276,0,ROWS($A$4:A6)),"Consolidado"))</f>
        <v>0</v>
      </c>
      <c r="D6" s="12">
        <f>IF($A6="","",COUNTIF(INDEX(NORMATIVOS!$C$3:$N$276,0,ROWS($A$4:A6)),"En proceso"))</f>
        <v>0</v>
      </c>
      <c r="E6" s="12">
        <f>IF($A6="","",COUNTIF(INDEX(NORMATIVOS!$C$3:$N$276,0,ROWS($A$4:A6)),"Proyección"))</f>
        <v>264</v>
      </c>
      <c r="F6" s="12">
        <f>IF($A6="","",COUNTIF(INDEX(NORMATIVOS!$C$3:$N$276,0,ROWS($A$4:A6)),"N/A"))</f>
        <v>0</v>
      </c>
      <c r="G6" s="13">
        <f t="shared" si="0"/>
        <v>0</v>
      </c>
      <c r="H6" s="42" t="str">
        <f t="shared" si="1"/>
        <v>Base inicial</v>
      </c>
    </row>
    <row r="7" spans="1:8" x14ac:dyDescent="0.2">
      <c r="A7" s="12" t="str">
        <f>IFERROR(IF(INDEX(NORMATIVOS!$C$1:$N$1,1,ROWS($A$4:A7))="","",INDEX(NORMATIVOS!$C$1:$N$1,1,ROWS($A$4:A7))),"")</f>
        <v>Iker Bonilla</v>
      </c>
      <c r="B7" s="12">
        <f>IF($A7="","",COUNTA(INDEX(NORMATIVOS!$C$3:$N$276,0,ROWS($A$4:A7))))</f>
        <v>264</v>
      </c>
      <c r="C7" s="12">
        <f>IF($A7="","",COUNTIF(INDEX(NORMATIVOS!$C$3:$N$276,0,ROWS($A$4:A7)),"Consolidado"))</f>
        <v>0</v>
      </c>
      <c r="D7" s="12">
        <f>IF($A7="","",COUNTIF(INDEX(NORMATIVOS!$C$3:$N$276,0,ROWS($A$4:A7)),"En proceso"))</f>
        <v>0</v>
      </c>
      <c r="E7" s="12">
        <f>IF($A7="","",COUNTIF(INDEX(NORMATIVOS!$C$3:$N$276,0,ROWS($A$4:A7)),"Proyección"))</f>
        <v>264</v>
      </c>
      <c r="F7" s="12">
        <f>IF($A7="","",COUNTIF(INDEX(NORMATIVOS!$C$3:$N$276,0,ROWS($A$4:A7)),"N/A"))</f>
        <v>0</v>
      </c>
      <c r="G7" s="13">
        <f t="shared" si="0"/>
        <v>0</v>
      </c>
      <c r="H7" s="42" t="str">
        <f t="shared" si="1"/>
        <v>Base inicial</v>
      </c>
    </row>
    <row r="8" spans="1:8" x14ac:dyDescent="0.2">
      <c r="A8" s="12" t="str">
        <f>IFERROR(IF(INDEX(NORMATIVOS!$C$1:$N$1,1,ROWS($A$4:A8))="","",INDEX(NORMATIVOS!$C$1:$N$1,1,ROWS($A$4:A8))),"")</f>
        <v>Joseph Cardona</v>
      </c>
      <c r="B8" s="12">
        <f>IF($A8="","",COUNTA(INDEX(NORMATIVOS!$C$3:$N$276,0,ROWS($A$4:A8))))</f>
        <v>264</v>
      </c>
      <c r="C8" s="12">
        <f>IF($A8="","",COUNTIF(INDEX(NORMATIVOS!$C$3:$N$276,0,ROWS($A$4:A8)),"Consolidado"))</f>
        <v>0</v>
      </c>
      <c r="D8" s="12">
        <f>IF($A8="","",COUNTIF(INDEX(NORMATIVOS!$C$3:$N$276,0,ROWS($A$4:A8)),"En proceso"))</f>
        <v>0</v>
      </c>
      <c r="E8" s="12">
        <f>IF($A8="","",COUNTIF(INDEX(NORMATIVOS!$C$3:$N$276,0,ROWS($A$4:A8)),"Proyección"))</f>
        <v>264</v>
      </c>
      <c r="F8" s="12">
        <f>IF($A8="","",COUNTIF(INDEX(NORMATIVOS!$C$3:$N$276,0,ROWS($A$4:A8)),"N/A"))</f>
        <v>0</v>
      </c>
      <c r="G8" s="13">
        <f t="shared" si="0"/>
        <v>0</v>
      </c>
      <c r="H8" s="42" t="str">
        <f t="shared" si="1"/>
        <v>Base inicial</v>
      </c>
    </row>
    <row r="9" spans="1:8" x14ac:dyDescent="0.2">
      <c r="A9" s="12" t="str">
        <f>IFERROR(IF(INDEX(NORMATIVOS!$C$1:$N$1,1,ROWS($A$4:A9))="","",INDEX(NORMATIVOS!$C$1:$N$1,1,ROWS($A$4:A9))),"")</f>
        <v>Kevin Gonzalez</v>
      </c>
      <c r="B9" s="12">
        <f>IF($A9="","",COUNTA(INDEX(NORMATIVOS!$C$3:$N$276,0,ROWS($A$4:A9))))</f>
        <v>264</v>
      </c>
      <c r="C9" s="12">
        <f>IF($A9="","",COUNTIF(INDEX(NORMATIVOS!$C$3:$N$276,0,ROWS($A$4:A9)),"Consolidado"))</f>
        <v>0</v>
      </c>
      <c r="D9" s="12">
        <f>IF($A9="","",COUNTIF(INDEX(NORMATIVOS!$C$3:$N$276,0,ROWS($A$4:A9)),"En proceso"))</f>
        <v>0</v>
      </c>
      <c r="E9" s="12">
        <f>IF($A9="","",COUNTIF(INDEX(NORMATIVOS!$C$3:$N$276,0,ROWS($A$4:A9)),"Proyección"))</f>
        <v>264</v>
      </c>
      <c r="F9" s="12">
        <f>IF($A9="","",COUNTIF(INDEX(NORMATIVOS!$C$3:$N$276,0,ROWS($A$4:A9)),"N/A"))</f>
        <v>0</v>
      </c>
      <c r="G9" s="13">
        <f t="shared" si="0"/>
        <v>0</v>
      </c>
      <c r="H9" s="42" t="str">
        <f t="shared" si="1"/>
        <v>Base inicial</v>
      </c>
    </row>
    <row r="10" spans="1:8" x14ac:dyDescent="0.2">
      <c r="A10" s="12" t="str">
        <f>IFERROR(IF(INDEX(NORMATIVOS!$C$1:$N$1,1,ROWS($A$4:A10))="","",INDEX(NORMATIVOS!$C$1:$N$1,1,ROWS($A$4:A10))),"")</f>
        <v/>
      </c>
      <c r="B10" s="12" t="str">
        <f>IF($A10="","",COUNTA(INDEX(NORMATIVOS!$C$3:$N$276,0,ROWS($A$4:A10))))</f>
        <v/>
      </c>
      <c r="C10" s="12" t="str">
        <f>IF($A10="","",COUNTIF(INDEX(NORMATIVOS!$C$3:$N$276,0,ROWS($A$4:A10)),"Consolidado"))</f>
        <v/>
      </c>
      <c r="D10" s="12" t="str">
        <f>IF($A10="","",COUNTIF(INDEX(NORMATIVOS!$C$3:$N$276,0,ROWS($A$4:A10)),"En proceso"))</f>
        <v/>
      </c>
      <c r="E10" s="12" t="str">
        <f>IF($A10="","",COUNTIF(INDEX(NORMATIVOS!$C$3:$N$276,0,ROWS($A$4:A10)),"Proyección"))</f>
        <v/>
      </c>
      <c r="F10" s="12" t="str">
        <f>IF($A10="","",COUNTIF(INDEX(NORMATIVOS!$C$3:$N$276,0,ROWS($A$4:A10)),"N/A"))</f>
        <v/>
      </c>
      <c r="G10" s="13" t="str">
        <f t="shared" si="0"/>
        <v/>
      </c>
      <c r="H10" s="42" t="str">
        <f t="shared" si="1"/>
        <v/>
      </c>
    </row>
    <row r="11" spans="1:8" x14ac:dyDescent="0.2">
      <c r="A11" s="12" t="str">
        <f>IFERROR(IF(INDEX(NORMATIVOS!$C$1:$N$1,1,ROWS($A$4:A11))="","",INDEX(NORMATIVOS!$C$1:$N$1,1,ROWS($A$4:A11))),"")</f>
        <v/>
      </c>
      <c r="B11" s="12" t="str">
        <f>IF($A11="","",COUNTA(INDEX(NORMATIVOS!$C$3:$N$276,0,ROWS($A$4:A11))))</f>
        <v/>
      </c>
      <c r="C11" s="12" t="str">
        <f>IF($A11="","",COUNTIF(INDEX(NORMATIVOS!$C$3:$N$276,0,ROWS($A$4:A11)),"Consolidado"))</f>
        <v/>
      </c>
      <c r="D11" s="12" t="str">
        <f>IF($A11="","",COUNTIF(INDEX(NORMATIVOS!$C$3:$N$276,0,ROWS($A$4:A11)),"En proceso"))</f>
        <v/>
      </c>
      <c r="E11" s="12" t="str">
        <f>IF($A11="","",COUNTIF(INDEX(NORMATIVOS!$C$3:$N$276,0,ROWS($A$4:A11)),"Proyección"))</f>
        <v/>
      </c>
      <c r="F11" s="12" t="str">
        <f>IF($A11="","",COUNTIF(INDEX(NORMATIVOS!$C$3:$N$276,0,ROWS($A$4:A11)),"N/A"))</f>
        <v/>
      </c>
      <c r="G11" s="13" t="str">
        <f t="shared" si="0"/>
        <v/>
      </c>
      <c r="H11" s="42" t="str">
        <f t="shared" si="1"/>
        <v/>
      </c>
    </row>
    <row r="12" spans="1:8" x14ac:dyDescent="0.2">
      <c r="A12" s="12" t="str">
        <f>IFERROR(IF(INDEX(NORMATIVOS!$C$1:$N$1,1,ROWS($A$4:A12))="","",INDEX(NORMATIVOS!$C$1:$N$1,1,ROWS($A$4:A12))),"")</f>
        <v/>
      </c>
      <c r="B12" s="12" t="str">
        <f>IF($A12="","",COUNTA(INDEX(NORMATIVOS!$C$3:$N$276,0,ROWS($A$4:A12))))</f>
        <v/>
      </c>
      <c r="C12" s="12" t="str">
        <f>IF($A12="","",COUNTIF(INDEX(NORMATIVOS!$C$3:$N$276,0,ROWS($A$4:A12)),"Consolidado"))</f>
        <v/>
      </c>
      <c r="D12" s="12" t="str">
        <f>IF($A12="","",COUNTIF(INDEX(NORMATIVOS!$C$3:$N$276,0,ROWS($A$4:A12)),"En proceso"))</f>
        <v/>
      </c>
      <c r="E12" s="12" t="str">
        <f>IF($A12="","",COUNTIF(INDEX(NORMATIVOS!$C$3:$N$276,0,ROWS($A$4:A12)),"Proyección"))</f>
        <v/>
      </c>
      <c r="F12" s="12" t="str">
        <f>IF($A12="","",COUNTIF(INDEX(NORMATIVOS!$C$3:$N$276,0,ROWS($A$4:A12)),"N/A"))</f>
        <v/>
      </c>
      <c r="G12" s="13" t="str">
        <f t="shared" si="0"/>
        <v/>
      </c>
      <c r="H12" s="42" t="str">
        <f t="shared" si="1"/>
        <v/>
      </c>
    </row>
    <row r="13" spans="1:8" x14ac:dyDescent="0.2">
      <c r="A13" s="12" t="str">
        <f>IFERROR(IF(INDEX(NORMATIVOS!$C$1:$N$1,1,ROWS($A$4:A13))="","",INDEX(NORMATIVOS!$C$1:$N$1,1,ROWS($A$4:A13))),"")</f>
        <v/>
      </c>
      <c r="B13" s="12" t="str">
        <f>IF($A13="","",COUNTA(INDEX(NORMATIVOS!$C$3:$N$276,0,ROWS($A$4:A13))))</f>
        <v/>
      </c>
      <c r="C13" s="12" t="str">
        <f>IF($A13="","",COUNTIF(INDEX(NORMATIVOS!$C$3:$N$276,0,ROWS($A$4:A13)),"Consolidado"))</f>
        <v/>
      </c>
      <c r="D13" s="12" t="str">
        <f>IF($A13="","",COUNTIF(INDEX(NORMATIVOS!$C$3:$N$276,0,ROWS($A$4:A13)),"En proceso"))</f>
        <v/>
      </c>
      <c r="E13" s="12" t="str">
        <f>IF($A13="","",COUNTIF(INDEX(NORMATIVOS!$C$3:$N$276,0,ROWS($A$4:A13)),"Proyección"))</f>
        <v/>
      </c>
      <c r="F13" s="12" t="str">
        <f>IF($A13="","",COUNTIF(INDEX(NORMATIVOS!$C$3:$N$276,0,ROWS($A$4:A13)),"N/A"))</f>
        <v/>
      </c>
      <c r="G13" s="13" t="str">
        <f t="shared" si="0"/>
        <v/>
      </c>
      <c r="H13" s="42" t="str">
        <f t="shared" si="1"/>
        <v/>
      </c>
    </row>
    <row r="14" spans="1:8" x14ac:dyDescent="0.2">
      <c r="A14" s="12" t="str">
        <f>IFERROR(IF(INDEX(NORMATIVOS!$C$1:$N$1,1,ROWS($A$4:A14))="","",INDEX(NORMATIVOS!$C$1:$N$1,1,ROWS($A$4:A14))),"")</f>
        <v/>
      </c>
      <c r="B14" s="12" t="str">
        <f>IF($A14="","",COUNTA(INDEX(NORMATIVOS!$C$3:$N$276,0,ROWS($A$4:A14))))</f>
        <v/>
      </c>
      <c r="C14" s="12" t="str">
        <f>IF($A14="","",COUNTIF(INDEX(NORMATIVOS!$C$3:$N$276,0,ROWS($A$4:A14)),"Consolidado"))</f>
        <v/>
      </c>
      <c r="D14" s="12" t="str">
        <f>IF($A14="","",COUNTIF(INDEX(NORMATIVOS!$C$3:$N$276,0,ROWS($A$4:A14)),"En proceso"))</f>
        <v/>
      </c>
      <c r="E14" s="12" t="str">
        <f>IF($A14="","",COUNTIF(INDEX(NORMATIVOS!$C$3:$N$276,0,ROWS($A$4:A14)),"Proyección"))</f>
        <v/>
      </c>
      <c r="F14" s="12" t="str">
        <f>IF($A14="","",COUNTIF(INDEX(NORMATIVOS!$C$3:$N$276,0,ROWS($A$4:A14)),"N/A"))</f>
        <v/>
      </c>
      <c r="G14" s="13" t="str">
        <f t="shared" si="0"/>
        <v/>
      </c>
      <c r="H14" s="42" t="str">
        <f t="shared" si="1"/>
        <v/>
      </c>
    </row>
    <row r="15" spans="1:8" x14ac:dyDescent="0.2">
      <c r="A15" s="12" t="str">
        <f>IFERROR(IF(INDEX(NORMATIVOS!$C$1:$N$1,1,ROWS($A$4:A15))="","",INDEX(NORMATIVOS!$C$1:$N$1,1,ROWS($A$4:A15))),"")</f>
        <v/>
      </c>
      <c r="B15" s="12" t="str">
        <f>IF($A15="","",COUNTA(INDEX(NORMATIVOS!$C$3:$N$276,0,ROWS($A$4:A15))))</f>
        <v/>
      </c>
      <c r="C15" s="12" t="str">
        <f>IF($A15="","",COUNTIF(INDEX(NORMATIVOS!$C$3:$N$276,0,ROWS($A$4:A15)),"Consolidado"))</f>
        <v/>
      </c>
      <c r="D15" s="12" t="str">
        <f>IF($A15="","",COUNTIF(INDEX(NORMATIVOS!$C$3:$N$276,0,ROWS($A$4:A15)),"En proceso"))</f>
        <v/>
      </c>
      <c r="E15" s="12" t="str">
        <f>IF($A15="","",COUNTIF(INDEX(NORMATIVOS!$C$3:$N$276,0,ROWS($A$4:A15)),"Proyección"))</f>
        <v/>
      </c>
      <c r="F15" s="12" t="str">
        <f>IF($A15="","",COUNTIF(INDEX(NORMATIVOS!$C$3:$N$276,0,ROWS($A$4:A15)),"N/A"))</f>
        <v/>
      </c>
      <c r="G15" s="13" t="str">
        <f t="shared" si="0"/>
        <v/>
      </c>
      <c r="H15" s="42" t="str">
        <f t="shared" si="1"/>
        <v/>
      </c>
    </row>
    <row r="16" spans="1:8" x14ac:dyDescent="0.2">
      <c r="A16" s="12" t="str">
        <f>IFERROR(IF(INDEX(NORMATIVOS!$C$1:$N$1,1,ROWS($A$4:A16))="","",INDEX(NORMATIVOS!$C$1:$N$1,1,ROWS($A$4:A16))),"")</f>
        <v/>
      </c>
      <c r="B16" s="12" t="str">
        <f>IF($A16="","",COUNTA(INDEX(NORMATIVOS!$C$3:$N$276,0,ROWS($A$4:A16))))</f>
        <v/>
      </c>
      <c r="C16" s="12" t="str">
        <f>IF($A16="","",COUNTIF(INDEX(NORMATIVOS!$C$3:$N$276,0,ROWS($A$4:A16)),"Consolidado"))</f>
        <v/>
      </c>
      <c r="D16" s="12" t="str">
        <f>IF($A16="","",COUNTIF(INDEX(NORMATIVOS!$C$3:$N$276,0,ROWS($A$4:A16)),"En proceso"))</f>
        <v/>
      </c>
      <c r="E16" s="12" t="str">
        <f>IF($A16="","",COUNTIF(INDEX(NORMATIVOS!$C$3:$N$276,0,ROWS($A$4:A16)),"Proyección"))</f>
        <v/>
      </c>
      <c r="F16" s="12" t="str">
        <f>IF($A16="","",COUNTIF(INDEX(NORMATIVOS!$C$3:$N$276,0,ROWS($A$4:A16)),"N/A"))</f>
        <v/>
      </c>
      <c r="G16" s="13" t="str">
        <f t="shared" si="0"/>
        <v/>
      </c>
      <c r="H16" s="42" t="str">
        <f t="shared" si="1"/>
        <v/>
      </c>
    </row>
    <row r="17" spans="1:8" x14ac:dyDescent="0.2">
      <c r="A17" s="12" t="str">
        <f>IFERROR(IF(INDEX(NORMATIVOS!$C$1:$N$1,1,ROWS($A$4:A17))="","",INDEX(NORMATIVOS!$C$1:$N$1,1,ROWS($A$4:A17))),"")</f>
        <v/>
      </c>
      <c r="B17" s="12" t="str">
        <f>IF($A17="","",COUNTA(INDEX(NORMATIVOS!$C$3:$N$276,0,ROWS($A$4:A17))))</f>
        <v/>
      </c>
      <c r="C17" s="12" t="str">
        <f>IF($A17="","",COUNTIF(INDEX(NORMATIVOS!$C$3:$N$276,0,ROWS($A$4:A17)),"Consolidado"))</f>
        <v/>
      </c>
      <c r="D17" s="12" t="str">
        <f>IF($A17="","",COUNTIF(INDEX(NORMATIVOS!$C$3:$N$276,0,ROWS($A$4:A17)),"En proceso"))</f>
        <v/>
      </c>
      <c r="E17" s="12" t="str">
        <f>IF($A17="","",COUNTIF(INDEX(NORMATIVOS!$C$3:$N$276,0,ROWS($A$4:A17)),"Proyección"))</f>
        <v/>
      </c>
      <c r="F17" s="12" t="str">
        <f>IF($A17="","",COUNTIF(INDEX(NORMATIVOS!$C$3:$N$276,0,ROWS($A$4:A17)),"N/A"))</f>
        <v/>
      </c>
      <c r="G17" s="13" t="str">
        <f t="shared" si="0"/>
        <v/>
      </c>
      <c r="H17" s="42" t="str">
        <f t="shared" si="1"/>
        <v/>
      </c>
    </row>
    <row r="18" spans="1:8" x14ac:dyDescent="0.2">
      <c r="A18" s="12" t="str">
        <f>IFERROR(IF(INDEX(NORMATIVOS!$C$1:$N$1,1,ROWS($A$4:A18))="","",INDEX(NORMATIVOS!$C$1:$N$1,1,ROWS($A$4:A18))),"")</f>
        <v/>
      </c>
      <c r="B18" s="12" t="str">
        <f>IF($A18="","",COUNTA(INDEX(NORMATIVOS!$C$3:$N$276,0,ROWS($A$4:A18))))</f>
        <v/>
      </c>
      <c r="C18" s="12" t="str">
        <f>IF($A18="","",COUNTIF(INDEX(NORMATIVOS!$C$3:$N$276,0,ROWS($A$4:A18)),"Consolidado"))</f>
        <v/>
      </c>
      <c r="D18" s="12" t="str">
        <f>IF($A18="","",COUNTIF(INDEX(NORMATIVOS!$C$3:$N$276,0,ROWS($A$4:A18)),"En proceso"))</f>
        <v/>
      </c>
      <c r="E18" s="12" t="str">
        <f>IF($A18="","",COUNTIF(INDEX(NORMATIVOS!$C$3:$N$276,0,ROWS($A$4:A18)),"Proyección"))</f>
        <v/>
      </c>
      <c r="F18" s="12" t="str">
        <f>IF($A18="","",COUNTIF(INDEX(NORMATIVOS!$C$3:$N$276,0,ROWS($A$4:A18)),"N/A"))</f>
        <v/>
      </c>
      <c r="G18" s="13" t="str">
        <f t="shared" si="0"/>
        <v/>
      </c>
      <c r="H18" s="42" t="str">
        <f t="shared" si="1"/>
        <v/>
      </c>
    </row>
    <row r="19" spans="1:8" x14ac:dyDescent="0.2">
      <c r="A19" s="12" t="str">
        <f>IFERROR(IF(INDEX(NORMATIVOS!$C$1:$N$1,1,ROWS($A$4:A19))="","",INDEX(NORMATIVOS!$C$1:$N$1,1,ROWS($A$4:A19))),"")</f>
        <v/>
      </c>
      <c r="B19" s="12" t="str">
        <f>IF($A19="","",COUNTA(INDEX(NORMATIVOS!$C$3:$N$276,0,ROWS($A$4:A19))))</f>
        <v/>
      </c>
      <c r="C19" s="12" t="str">
        <f>IF($A19="","",COUNTIF(INDEX(NORMATIVOS!$C$3:$N$276,0,ROWS($A$4:A19)),"Consolidado"))</f>
        <v/>
      </c>
      <c r="D19" s="12" t="str">
        <f>IF($A19="","",COUNTIF(INDEX(NORMATIVOS!$C$3:$N$276,0,ROWS($A$4:A19)),"En proceso"))</f>
        <v/>
      </c>
      <c r="E19" s="12" t="str">
        <f>IF($A19="","",COUNTIF(INDEX(NORMATIVOS!$C$3:$N$276,0,ROWS($A$4:A19)),"Proyección"))</f>
        <v/>
      </c>
      <c r="F19" s="12" t="str">
        <f>IF($A19="","",COUNTIF(INDEX(NORMATIVOS!$C$3:$N$276,0,ROWS($A$4:A19)),"N/A"))</f>
        <v/>
      </c>
      <c r="G19" s="13" t="str">
        <f t="shared" si="0"/>
        <v/>
      </c>
      <c r="H19" s="42" t="str">
        <f t="shared" si="1"/>
        <v/>
      </c>
    </row>
    <row r="20" spans="1:8" x14ac:dyDescent="0.2">
      <c r="A20" s="12" t="str">
        <f>IFERROR(IF(INDEX(NORMATIVOS!$C$1:$N$1,1,ROWS($A$4:A20))="","",INDEX(NORMATIVOS!$C$1:$N$1,1,ROWS($A$4:A20))),"")</f>
        <v/>
      </c>
      <c r="B20" s="12" t="str">
        <f>IF($A20="","",COUNTA(INDEX(NORMATIVOS!$C$3:$N$276,0,ROWS($A$4:A20))))</f>
        <v/>
      </c>
      <c r="C20" s="12" t="str">
        <f>IF($A20="","",COUNTIF(INDEX(NORMATIVOS!$C$3:$N$276,0,ROWS($A$4:A20)),"Consolidado"))</f>
        <v/>
      </c>
      <c r="D20" s="12" t="str">
        <f>IF($A20="","",COUNTIF(INDEX(NORMATIVOS!$C$3:$N$276,0,ROWS($A$4:A20)),"En proceso"))</f>
        <v/>
      </c>
      <c r="E20" s="12" t="str">
        <f>IF($A20="","",COUNTIF(INDEX(NORMATIVOS!$C$3:$N$276,0,ROWS($A$4:A20)),"Proyección"))</f>
        <v/>
      </c>
      <c r="F20" s="12" t="str">
        <f>IF($A20="","",COUNTIF(INDEX(NORMATIVOS!$C$3:$N$276,0,ROWS($A$4:A20)),"N/A"))</f>
        <v/>
      </c>
      <c r="G20" s="13" t="str">
        <f t="shared" si="0"/>
        <v/>
      </c>
      <c r="H20" s="42" t="str">
        <f t="shared" si="1"/>
        <v/>
      </c>
    </row>
    <row r="21" spans="1:8" x14ac:dyDescent="0.2">
      <c r="A21" s="12" t="str">
        <f>IFERROR(IF(INDEX(NORMATIVOS!$C$1:$N$1,1,ROWS($A$4:A21))="","",INDEX(NORMATIVOS!$C$1:$N$1,1,ROWS($A$4:A21))),"")</f>
        <v/>
      </c>
      <c r="B21" s="12" t="str">
        <f>IF($A21="","",COUNTA(INDEX(NORMATIVOS!$C$3:$N$276,0,ROWS($A$4:A21))))</f>
        <v/>
      </c>
      <c r="C21" s="12" t="str">
        <f>IF($A21="","",COUNTIF(INDEX(NORMATIVOS!$C$3:$N$276,0,ROWS($A$4:A21)),"Consolidado"))</f>
        <v/>
      </c>
      <c r="D21" s="12" t="str">
        <f>IF($A21="","",COUNTIF(INDEX(NORMATIVOS!$C$3:$N$276,0,ROWS($A$4:A21)),"En proceso"))</f>
        <v/>
      </c>
      <c r="E21" s="12" t="str">
        <f>IF($A21="","",COUNTIF(INDEX(NORMATIVOS!$C$3:$N$276,0,ROWS($A$4:A21)),"Proyección"))</f>
        <v/>
      </c>
      <c r="F21" s="12" t="str">
        <f>IF($A21="","",COUNTIF(INDEX(NORMATIVOS!$C$3:$N$276,0,ROWS($A$4:A21)),"N/A"))</f>
        <v/>
      </c>
      <c r="G21" s="13" t="str">
        <f t="shared" si="0"/>
        <v/>
      </c>
      <c r="H21" s="42" t="str">
        <f t="shared" si="1"/>
        <v/>
      </c>
    </row>
    <row r="22" spans="1:8" x14ac:dyDescent="0.2">
      <c r="A22" s="12" t="str">
        <f>IFERROR(IF(INDEX(NORMATIVOS!$C$1:$N$1,1,ROWS($A$4:A22))="","",INDEX(NORMATIVOS!$C$1:$N$1,1,ROWS($A$4:A22))),"")</f>
        <v/>
      </c>
      <c r="B22" s="12" t="str">
        <f>IF($A22="","",COUNTA(INDEX(NORMATIVOS!$C$3:$N$276,0,ROWS($A$4:A22))))</f>
        <v/>
      </c>
      <c r="C22" s="12" t="str">
        <f>IF($A22="","",COUNTIF(INDEX(NORMATIVOS!$C$3:$N$276,0,ROWS($A$4:A22)),"Consolidado"))</f>
        <v/>
      </c>
      <c r="D22" s="12" t="str">
        <f>IF($A22="","",COUNTIF(INDEX(NORMATIVOS!$C$3:$N$276,0,ROWS($A$4:A22)),"En proceso"))</f>
        <v/>
      </c>
      <c r="E22" s="12" t="str">
        <f>IF($A22="","",COUNTIF(INDEX(NORMATIVOS!$C$3:$N$276,0,ROWS($A$4:A22)),"Proyección"))</f>
        <v/>
      </c>
      <c r="F22" s="12" t="str">
        <f>IF($A22="","",COUNTIF(INDEX(NORMATIVOS!$C$3:$N$276,0,ROWS($A$4:A22)),"N/A"))</f>
        <v/>
      </c>
      <c r="G22" s="13" t="str">
        <f t="shared" si="0"/>
        <v/>
      </c>
      <c r="H22" s="42" t="str">
        <f t="shared" si="1"/>
        <v/>
      </c>
    </row>
    <row r="23" spans="1:8" x14ac:dyDescent="0.2">
      <c r="A23" s="12" t="str">
        <f>IFERROR(IF(INDEX(NORMATIVOS!$C$1:$N$1,1,ROWS($A$4:A23))="","",INDEX(NORMATIVOS!$C$1:$N$1,1,ROWS($A$4:A23))),"")</f>
        <v/>
      </c>
      <c r="B23" s="12" t="str">
        <f>IF($A23="","",COUNTA(INDEX(NORMATIVOS!$C$3:$N$276,0,ROWS($A$4:A23))))</f>
        <v/>
      </c>
      <c r="C23" s="12" t="str">
        <f>IF($A23="","",COUNTIF(INDEX(NORMATIVOS!$C$3:$N$276,0,ROWS($A$4:A23)),"Consolidado"))</f>
        <v/>
      </c>
      <c r="D23" s="12" t="str">
        <f>IF($A23="","",COUNTIF(INDEX(NORMATIVOS!$C$3:$N$276,0,ROWS($A$4:A23)),"En proceso"))</f>
        <v/>
      </c>
      <c r="E23" s="12" t="str">
        <f>IF($A23="","",COUNTIF(INDEX(NORMATIVOS!$C$3:$N$276,0,ROWS($A$4:A23)),"Proyección"))</f>
        <v/>
      </c>
      <c r="F23" s="12" t="str">
        <f>IF($A23="","",COUNTIF(INDEX(NORMATIVOS!$C$3:$N$276,0,ROWS($A$4:A23)),"N/A"))</f>
        <v/>
      </c>
      <c r="G23" s="13" t="str">
        <f t="shared" si="0"/>
        <v/>
      </c>
      <c r="H23" s="42" t="str">
        <f t="shared" si="1"/>
        <v/>
      </c>
    </row>
    <row r="24" spans="1:8" x14ac:dyDescent="0.2">
      <c r="A24" s="12" t="str">
        <f>IFERROR(IF(INDEX(NORMATIVOS!$C$1:$N$1,1,ROWS($A$4:A24))="","",INDEX(NORMATIVOS!$C$1:$N$1,1,ROWS($A$4:A24))),"")</f>
        <v/>
      </c>
      <c r="B24" s="12" t="str">
        <f>IF($A24="","",COUNTA(INDEX(NORMATIVOS!$C$3:$N$276,0,ROWS($A$4:A24))))</f>
        <v/>
      </c>
      <c r="C24" s="12" t="str">
        <f>IF($A24="","",COUNTIF(INDEX(NORMATIVOS!$C$3:$N$276,0,ROWS($A$4:A24)),"Consolidado"))</f>
        <v/>
      </c>
      <c r="D24" s="12" t="str">
        <f>IF($A24="","",COUNTIF(INDEX(NORMATIVOS!$C$3:$N$276,0,ROWS($A$4:A24)),"En proceso"))</f>
        <v/>
      </c>
      <c r="E24" s="12" t="str">
        <f>IF($A24="","",COUNTIF(INDEX(NORMATIVOS!$C$3:$N$276,0,ROWS($A$4:A24)),"Proyección"))</f>
        <v/>
      </c>
      <c r="F24" s="12" t="str">
        <f>IF($A24="","",COUNTIF(INDEX(NORMATIVOS!$C$3:$N$276,0,ROWS($A$4:A24)),"N/A"))</f>
        <v/>
      </c>
      <c r="G24" s="13" t="str">
        <f t="shared" si="0"/>
        <v/>
      </c>
      <c r="H24" s="42" t="str">
        <f t="shared" si="1"/>
        <v/>
      </c>
    </row>
    <row r="25" spans="1:8" x14ac:dyDescent="0.2">
      <c r="A25" s="12" t="str">
        <f>IFERROR(IF(INDEX(NORMATIVOS!$C$1:$N$1,1,ROWS($A$4:A25))="","",INDEX(NORMATIVOS!$C$1:$N$1,1,ROWS($A$4:A25))),"")</f>
        <v/>
      </c>
      <c r="B25" s="12" t="str">
        <f>IF($A25="","",COUNTA(INDEX(NORMATIVOS!$C$3:$N$276,0,ROWS($A$4:A25))))</f>
        <v/>
      </c>
      <c r="C25" s="12" t="str">
        <f>IF($A25="","",COUNTIF(INDEX(NORMATIVOS!$C$3:$N$276,0,ROWS($A$4:A25)),"Consolidado"))</f>
        <v/>
      </c>
      <c r="D25" s="12" t="str">
        <f>IF($A25="","",COUNTIF(INDEX(NORMATIVOS!$C$3:$N$276,0,ROWS($A$4:A25)),"En proceso"))</f>
        <v/>
      </c>
      <c r="E25" s="12" t="str">
        <f>IF($A25="","",COUNTIF(INDEX(NORMATIVOS!$C$3:$N$276,0,ROWS($A$4:A25)),"Proyección"))</f>
        <v/>
      </c>
      <c r="F25" s="12" t="str">
        <f>IF($A25="","",COUNTIF(INDEX(NORMATIVOS!$C$3:$N$276,0,ROWS($A$4:A25)),"N/A"))</f>
        <v/>
      </c>
      <c r="G25" s="13" t="str">
        <f t="shared" si="0"/>
        <v/>
      </c>
      <c r="H25" s="42" t="str">
        <f t="shared" si="1"/>
        <v/>
      </c>
    </row>
    <row r="26" spans="1:8" x14ac:dyDescent="0.2">
      <c r="A26" s="12" t="str">
        <f>IFERROR(IF(INDEX(NORMATIVOS!$C$1:$N$1,1,ROWS($A$4:A26))="","",INDEX(NORMATIVOS!$C$1:$N$1,1,ROWS($A$4:A26))),"")</f>
        <v/>
      </c>
      <c r="B26" s="12" t="str">
        <f>IF($A26="","",COUNTA(INDEX(NORMATIVOS!$C$3:$N$276,0,ROWS($A$4:A26))))</f>
        <v/>
      </c>
      <c r="C26" s="12" t="str">
        <f>IF($A26="","",COUNTIF(INDEX(NORMATIVOS!$C$3:$N$276,0,ROWS($A$4:A26)),"Consolidado"))</f>
        <v/>
      </c>
      <c r="D26" s="12" t="str">
        <f>IF($A26="","",COUNTIF(INDEX(NORMATIVOS!$C$3:$N$276,0,ROWS($A$4:A26)),"En proceso"))</f>
        <v/>
      </c>
      <c r="E26" s="12" t="str">
        <f>IF($A26="","",COUNTIF(INDEX(NORMATIVOS!$C$3:$N$276,0,ROWS($A$4:A26)),"Proyección"))</f>
        <v/>
      </c>
      <c r="F26" s="12" t="str">
        <f>IF($A26="","",COUNTIF(INDEX(NORMATIVOS!$C$3:$N$276,0,ROWS($A$4:A26)),"N/A"))</f>
        <v/>
      </c>
      <c r="G26" s="13" t="str">
        <f t="shared" si="0"/>
        <v/>
      </c>
      <c r="H26" s="42" t="str">
        <f t="shared" si="1"/>
        <v/>
      </c>
    </row>
    <row r="27" spans="1:8" x14ac:dyDescent="0.2">
      <c r="A27" s="12" t="str">
        <f>IFERROR(IF(INDEX(NORMATIVOS!$C$1:$N$1,1,ROWS($A$4:A27))="","",INDEX(NORMATIVOS!$C$1:$N$1,1,ROWS($A$4:A27))),"")</f>
        <v/>
      </c>
      <c r="B27" s="12" t="str">
        <f>IF($A27="","",COUNTA(INDEX(NORMATIVOS!$C$3:$N$276,0,ROWS($A$4:A27))))</f>
        <v/>
      </c>
      <c r="C27" s="12" t="str">
        <f>IF($A27="","",COUNTIF(INDEX(NORMATIVOS!$C$3:$N$276,0,ROWS($A$4:A27)),"Consolidado"))</f>
        <v/>
      </c>
      <c r="D27" s="12" t="str">
        <f>IF($A27="","",COUNTIF(INDEX(NORMATIVOS!$C$3:$N$276,0,ROWS($A$4:A27)),"En proceso"))</f>
        <v/>
      </c>
      <c r="E27" s="12" t="str">
        <f>IF($A27="","",COUNTIF(INDEX(NORMATIVOS!$C$3:$N$276,0,ROWS($A$4:A27)),"Proyección"))</f>
        <v/>
      </c>
      <c r="F27" s="12" t="str">
        <f>IF($A27="","",COUNTIF(INDEX(NORMATIVOS!$C$3:$N$276,0,ROWS($A$4:A27)),"N/A"))</f>
        <v/>
      </c>
      <c r="G27" s="13" t="str">
        <f t="shared" si="0"/>
        <v/>
      </c>
      <c r="H27" s="42" t="str">
        <f t="shared" si="1"/>
        <v/>
      </c>
    </row>
    <row r="28" spans="1:8" x14ac:dyDescent="0.2">
      <c r="A28" s="12" t="str">
        <f>IFERROR(IF(INDEX(NORMATIVOS!$C$1:$N$1,1,ROWS($A$4:A28))="","",INDEX(NORMATIVOS!$C$1:$N$1,1,ROWS($A$4:A28))),"")</f>
        <v/>
      </c>
      <c r="B28" s="12" t="str">
        <f>IF($A28="","",COUNTA(INDEX(NORMATIVOS!$C$3:$N$276,0,ROWS($A$4:A28))))</f>
        <v/>
      </c>
      <c r="C28" s="12" t="str">
        <f>IF($A28="","",COUNTIF(INDEX(NORMATIVOS!$C$3:$N$276,0,ROWS($A$4:A28)),"Consolidado"))</f>
        <v/>
      </c>
      <c r="D28" s="12" t="str">
        <f>IF($A28="","",COUNTIF(INDEX(NORMATIVOS!$C$3:$N$276,0,ROWS($A$4:A28)),"En proceso"))</f>
        <v/>
      </c>
      <c r="E28" s="12" t="str">
        <f>IF($A28="","",COUNTIF(INDEX(NORMATIVOS!$C$3:$N$276,0,ROWS($A$4:A28)),"Proyección"))</f>
        <v/>
      </c>
      <c r="F28" s="12" t="str">
        <f>IF($A28="","",COUNTIF(INDEX(NORMATIVOS!$C$3:$N$276,0,ROWS($A$4:A28)),"N/A"))</f>
        <v/>
      </c>
      <c r="G28" s="13" t="str">
        <f t="shared" si="0"/>
        <v/>
      </c>
      <c r="H28" s="42" t="str">
        <f t="shared" si="1"/>
        <v/>
      </c>
    </row>
    <row r="29" spans="1:8" x14ac:dyDescent="0.2">
      <c r="A29" s="12" t="str">
        <f>IFERROR(IF(INDEX(NORMATIVOS!$C$1:$N$1,1,ROWS($A$4:A29))="","",INDEX(NORMATIVOS!$C$1:$N$1,1,ROWS($A$4:A29))),"")</f>
        <v/>
      </c>
      <c r="B29" s="12" t="str">
        <f>IF($A29="","",COUNTA(INDEX(NORMATIVOS!$C$3:$N$276,0,ROWS($A$4:A29))))</f>
        <v/>
      </c>
      <c r="C29" s="12" t="str">
        <f>IF($A29="","",COUNTIF(INDEX(NORMATIVOS!$C$3:$N$276,0,ROWS($A$4:A29)),"Consolidado"))</f>
        <v/>
      </c>
      <c r="D29" s="12" t="str">
        <f>IF($A29="","",COUNTIF(INDEX(NORMATIVOS!$C$3:$N$276,0,ROWS($A$4:A29)),"En proceso"))</f>
        <v/>
      </c>
      <c r="E29" s="12" t="str">
        <f>IF($A29="","",COUNTIF(INDEX(NORMATIVOS!$C$3:$N$276,0,ROWS($A$4:A29)),"Proyección"))</f>
        <v/>
      </c>
      <c r="F29" s="12" t="str">
        <f>IF($A29="","",COUNTIF(INDEX(NORMATIVOS!$C$3:$N$276,0,ROWS($A$4:A29)),"N/A"))</f>
        <v/>
      </c>
      <c r="G29" s="13" t="str">
        <f t="shared" si="0"/>
        <v/>
      </c>
      <c r="H29" s="42" t="str">
        <f t="shared" si="1"/>
        <v/>
      </c>
    </row>
    <row r="30" spans="1:8" x14ac:dyDescent="0.2">
      <c r="A30" s="12" t="str">
        <f>IFERROR(IF(INDEX(NORMATIVOS!$C$1:$N$1,1,ROWS($A$4:A30))="","",INDEX(NORMATIVOS!$C$1:$N$1,1,ROWS($A$4:A30))),"")</f>
        <v/>
      </c>
      <c r="B30" s="12" t="str">
        <f>IF($A30="","",COUNTA(INDEX(NORMATIVOS!$C$3:$N$276,0,ROWS($A$4:A30))))</f>
        <v/>
      </c>
      <c r="C30" s="12" t="str">
        <f>IF($A30="","",COUNTIF(INDEX(NORMATIVOS!$C$3:$N$276,0,ROWS($A$4:A30)),"Consolidado"))</f>
        <v/>
      </c>
      <c r="D30" s="12" t="str">
        <f>IF($A30="","",COUNTIF(INDEX(NORMATIVOS!$C$3:$N$276,0,ROWS($A$4:A30)),"En proceso"))</f>
        <v/>
      </c>
      <c r="E30" s="12" t="str">
        <f>IF($A30="","",COUNTIF(INDEX(NORMATIVOS!$C$3:$N$276,0,ROWS($A$4:A30)),"Proyección"))</f>
        <v/>
      </c>
      <c r="F30" s="12" t="str">
        <f>IF($A30="","",COUNTIF(INDEX(NORMATIVOS!$C$3:$N$276,0,ROWS($A$4:A30)),"N/A"))</f>
        <v/>
      </c>
      <c r="G30" s="13" t="str">
        <f t="shared" si="0"/>
        <v/>
      </c>
      <c r="H30" s="42" t="str">
        <f t="shared" si="1"/>
        <v/>
      </c>
    </row>
    <row r="31" spans="1:8" x14ac:dyDescent="0.2">
      <c r="A31" s="12" t="str">
        <f>IFERROR(IF(INDEX(NORMATIVOS!$C$1:$N$1,1,ROWS($A$4:A31))="","",INDEX(NORMATIVOS!$C$1:$N$1,1,ROWS($A$4:A31))),"")</f>
        <v/>
      </c>
      <c r="B31" s="12" t="str">
        <f>IF($A31="","",COUNTA(INDEX(NORMATIVOS!$C$3:$N$276,0,ROWS($A$4:A31))))</f>
        <v/>
      </c>
      <c r="C31" s="12" t="str">
        <f>IF($A31="","",COUNTIF(INDEX(NORMATIVOS!$C$3:$N$276,0,ROWS($A$4:A31)),"Consolidado"))</f>
        <v/>
      </c>
      <c r="D31" s="12" t="str">
        <f>IF($A31="","",COUNTIF(INDEX(NORMATIVOS!$C$3:$N$276,0,ROWS($A$4:A31)),"En proceso"))</f>
        <v/>
      </c>
      <c r="E31" s="12" t="str">
        <f>IF($A31="","",COUNTIF(INDEX(NORMATIVOS!$C$3:$N$276,0,ROWS($A$4:A31)),"Proyección"))</f>
        <v/>
      </c>
      <c r="F31" s="12" t="str">
        <f>IF($A31="","",COUNTIF(INDEX(NORMATIVOS!$C$3:$N$276,0,ROWS($A$4:A31)),"N/A"))</f>
        <v/>
      </c>
      <c r="G31" s="13" t="str">
        <f t="shared" si="0"/>
        <v/>
      </c>
      <c r="H31" s="42" t="str">
        <f t="shared" si="1"/>
        <v/>
      </c>
    </row>
    <row r="32" spans="1:8" x14ac:dyDescent="0.2">
      <c r="A32" s="12" t="str">
        <f>IFERROR(IF(INDEX(NORMATIVOS!$C$1:$N$1,1,ROWS($A$4:A32))="","",INDEX(NORMATIVOS!$C$1:$N$1,1,ROWS($A$4:A32))),"")</f>
        <v/>
      </c>
      <c r="B32" s="12" t="str">
        <f>IF($A32="","",COUNTA(INDEX(NORMATIVOS!$C$3:$N$276,0,ROWS($A$4:A32))))</f>
        <v/>
      </c>
      <c r="C32" s="12" t="str">
        <f>IF($A32="","",COUNTIF(INDEX(NORMATIVOS!$C$3:$N$276,0,ROWS($A$4:A32)),"Consolidado"))</f>
        <v/>
      </c>
      <c r="D32" s="12" t="str">
        <f>IF($A32="","",COUNTIF(INDEX(NORMATIVOS!$C$3:$N$276,0,ROWS($A$4:A32)),"En proceso"))</f>
        <v/>
      </c>
      <c r="E32" s="12" t="str">
        <f>IF($A32="","",COUNTIF(INDEX(NORMATIVOS!$C$3:$N$276,0,ROWS($A$4:A32)),"Proyección"))</f>
        <v/>
      </c>
      <c r="F32" s="12" t="str">
        <f>IF($A32="","",COUNTIF(INDEX(NORMATIVOS!$C$3:$N$276,0,ROWS($A$4:A32)),"N/A"))</f>
        <v/>
      </c>
      <c r="G32" s="13" t="str">
        <f t="shared" si="0"/>
        <v/>
      </c>
      <c r="H32" s="42" t="str">
        <f t="shared" si="1"/>
        <v/>
      </c>
    </row>
    <row r="33" spans="1:8" x14ac:dyDescent="0.2">
      <c r="A33" s="12" t="str">
        <f>IFERROR(IF(INDEX(NORMATIVOS!$C$1:$N$1,1,ROWS($A$4:A33))="","",INDEX(NORMATIVOS!$C$1:$N$1,1,ROWS($A$4:A33))),"")</f>
        <v/>
      </c>
      <c r="B33" s="12" t="str">
        <f>IF($A33="","",COUNTA(INDEX(NORMATIVOS!$C$3:$N$276,0,ROWS($A$4:A33))))</f>
        <v/>
      </c>
      <c r="C33" s="12" t="str">
        <f>IF($A33="","",COUNTIF(INDEX(NORMATIVOS!$C$3:$N$276,0,ROWS($A$4:A33)),"Consolidado"))</f>
        <v/>
      </c>
      <c r="D33" s="12" t="str">
        <f>IF($A33="","",COUNTIF(INDEX(NORMATIVOS!$C$3:$N$276,0,ROWS($A$4:A33)),"En proceso"))</f>
        <v/>
      </c>
      <c r="E33" s="12" t="str">
        <f>IF($A33="","",COUNTIF(INDEX(NORMATIVOS!$C$3:$N$276,0,ROWS($A$4:A33)),"Proyección"))</f>
        <v/>
      </c>
      <c r="F33" s="12" t="str">
        <f>IF($A33="","",COUNTIF(INDEX(NORMATIVOS!$C$3:$N$276,0,ROWS($A$4:A33)),"N/A"))</f>
        <v/>
      </c>
      <c r="G33" s="13" t="str">
        <f t="shared" si="0"/>
        <v/>
      </c>
      <c r="H33" s="42" t="str">
        <f t="shared" si="1"/>
        <v/>
      </c>
    </row>
    <row r="34" spans="1:8" x14ac:dyDescent="0.2">
      <c r="A34" s="12" t="str">
        <f>IFERROR(IF(INDEX(NORMATIVOS!$C$1:$N$1,1,ROWS($A$4:A34))="","",INDEX(NORMATIVOS!$C$1:$N$1,1,ROWS($A$4:A34))),"")</f>
        <v/>
      </c>
      <c r="B34" s="12" t="str">
        <f>IF($A34="","",COUNTA(INDEX(NORMATIVOS!$C$3:$N$276,0,ROWS($A$4:A34))))</f>
        <v/>
      </c>
      <c r="C34" s="12" t="str">
        <f>IF($A34="","",COUNTIF(INDEX(NORMATIVOS!$C$3:$N$276,0,ROWS($A$4:A34)),"Consolidado"))</f>
        <v/>
      </c>
      <c r="D34" s="12" t="str">
        <f>IF($A34="","",COUNTIF(INDEX(NORMATIVOS!$C$3:$N$276,0,ROWS($A$4:A34)),"En proceso"))</f>
        <v/>
      </c>
      <c r="E34" s="12" t="str">
        <f>IF($A34="","",COUNTIF(INDEX(NORMATIVOS!$C$3:$N$276,0,ROWS($A$4:A34)),"Proyección"))</f>
        <v/>
      </c>
      <c r="F34" s="12" t="str">
        <f>IF($A34="","",COUNTIF(INDEX(NORMATIVOS!$C$3:$N$276,0,ROWS($A$4:A34)),"N/A"))</f>
        <v/>
      </c>
      <c r="G34" s="13" t="str">
        <f t="shared" si="0"/>
        <v/>
      </c>
      <c r="H34" s="42" t="str">
        <f t="shared" si="1"/>
        <v/>
      </c>
    </row>
    <row r="35" spans="1:8" x14ac:dyDescent="0.2">
      <c r="A35" s="12" t="str">
        <f>IFERROR(IF(INDEX(NORMATIVOS!$C$1:$N$1,1,ROWS($A$4:A35))="","",INDEX(NORMATIVOS!$C$1:$N$1,1,ROWS($A$4:A35))),"")</f>
        <v/>
      </c>
      <c r="B35" s="12" t="str">
        <f>IF($A35="","",COUNTA(INDEX(NORMATIVOS!$C$3:$N$276,0,ROWS($A$4:A35))))</f>
        <v/>
      </c>
      <c r="C35" s="12" t="str">
        <f>IF($A35="","",COUNTIF(INDEX(NORMATIVOS!$C$3:$N$276,0,ROWS($A$4:A35)),"Consolidado"))</f>
        <v/>
      </c>
      <c r="D35" s="12" t="str">
        <f>IF($A35="","",COUNTIF(INDEX(NORMATIVOS!$C$3:$N$276,0,ROWS($A$4:A35)),"En proceso"))</f>
        <v/>
      </c>
      <c r="E35" s="12" t="str">
        <f>IF($A35="","",COUNTIF(INDEX(NORMATIVOS!$C$3:$N$276,0,ROWS($A$4:A35)),"Proyección"))</f>
        <v/>
      </c>
      <c r="F35" s="12" t="str">
        <f>IF($A35="","",COUNTIF(INDEX(NORMATIVOS!$C$3:$N$276,0,ROWS($A$4:A35)),"N/A"))</f>
        <v/>
      </c>
      <c r="G35" s="13" t="str">
        <f t="shared" si="0"/>
        <v/>
      </c>
      <c r="H35" s="42" t="str">
        <f t="shared" si="1"/>
        <v/>
      </c>
    </row>
    <row r="36" spans="1:8" x14ac:dyDescent="0.2">
      <c r="A36" s="12" t="str">
        <f>IFERROR(IF(INDEX(NORMATIVOS!$C$1:$N$1,1,ROWS($A$4:A36))="","",INDEX(NORMATIVOS!$C$1:$N$1,1,ROWS($A$4:A36))),"")</f>
        <v/>
      </c>
      <c r="B36" s="12" t="str">
        <f>IF($A36="","",COUNTA(INDEX(NORMATIVOS!$C$3:$N$276,0,ROWS($A$4:A36))))</f>
        <v/>
      </c>
      <c r="C36" s="12" t="str">
        <f>IF($A36="","",COUNTIF(INDEX(NORMATIVOS!$C$3:$N$276,0,ROWS($A$4:A36)),"Consolidado"))</f>
        <v/>
      </c>
      <c r="D36" s="12" t="str">
        <f>IF($A36="","",COUNTIF(INDEX(NORMATIVOS!$C$3:$N$276,0,ROWS($A$4:A36)),"En proceso"))</f>
        <v/>
      </c>
      <c r="E36" s="12" t="str">
        <f>IF($A36="","",COUNTIF(INDEX(NORMATIVOS!$C$3:$N$276,0,ROWS($A$4:A36)),"Proyección"))</f>
        <v/>
      </c>
      <c r="F36" s="12" t="str">
        <f>IF($A36="","",COUNTIF(INDEX(NORMATIVOS!$C$3:$N$276,0,ROWS($A$4:A36)),"N/A"))</f>
        <v/>
      </c>
      <c r="G36" s="13" t="str">
        <f t="shared" ref="G36:G67" si="2">IF($A36="","",IFERROR(C36/(B36-F36),0))</f>
        <v/>
      </c>
      <c r="H36" s="42" t="str">
        <f t="shared" ref="H36:H67" si="3">IF($A36="","",IF(G36&gt;=0.8,"Alto avance",IF(G36&gt;=0.5,"Avance medio",IF(G36&gt;=0.3,"Avance inicial",IF(G36&gt;=0.1,"Base solida","Base inicial")))))</f>
        <v/>
      </c>
    </row>
    <row r="37" spans="1:8" x14ac:dyDescent="0.2">
      <c r="A37" s="12" t="str">
        <f>IFERROR(IF(INDEX(NORMATIVOS!$C$1:$N$1,1,ROWS($A$4:A37))="","",INDEX(NORMATIVOS!$C$1:$N$1,1,ROWS($A$4:A37))),"")</f>
        <v/>
      </c>
      <c r="B37" s="12" t="str">
        <f>IF($A37="","",COUNTA(INDEX(NORMATIVOS!$C$3:$N$276,0,ROWS($A$4:A37))))</f>
        <v/>
      </c>
      <c r="C37" s="12" t="str">
        <f>IF($A37="","",COUNTIF(INDEX(NORMATIVOS!$C$3:$N$276,0,ROWS($A$4:A37)),"Consolidado"))</f>
        <v/>
      </c>
      <c r="D37" s="12" t="str">
        <f>IF($A37="","",COUNTIF(INDEX(NORMATIVOS!$C$3:$N$276,0,ROWS($A$4:A37)),"En proceso"))</f>
        <v/>
      </c>
      <c r="E37" s="12" t="str">
        <f>IF($A37="","",COUNTIF(INDEX(NORMATIVOS!$C$3:$N$276,0,ROWS($A$4:A37)),"Proyección"))</f>
        <v/>
      </c>
      <c r="F37" s="12" t="str">
        <f>IF($A37="","",COUNTIF(INDEX(NORMATIVOS!$C$3:$N$276,0,ROWS($A$4:A37)),"N/A"))</f>
        <v/>
      </c>
      <c r="G37" s="13" t="str">
        <f t="shared" si="2"/>
        <v/>
      </c>
      <c r="H37" s="42" t="str">
        <f t="shared" si="3"/>
        <v/>
      </c>
    </row>
    <row r="38" spans="1:8" x14ac:dyDescent="0.2">
      <c r="A38" s="12" t="str">
        <f>IFERROR(IF(INDEX(NORMATIVOS!$C$1:$N$1,1,ROWS($A$4:A38))="","",INDEX(NORMATIVOS!$C$1:$N$1,1,ROWS($A$4:A38))),"")</f>
        <v/>
      </c>
      <c r="B38" s="12" t="str">
        <f>IF($A38="","",COUNTA(INDEX(NORMATIVOS!$C$3:$N$276,0,ROWS($A$4:A38))))</f>
        <v/>
      </c>
      <c r="C38" s="12" t="str">
        <f>IF($A38="","",COUNTIF(INDEX(NORMATIVOS!$C$3:$N$276,0,ROWS($A$4:A38)),"Consolidado"))</f>
        <v/>
      </c>
      <c r="D38" s="12" t="str">
        <f>IF($A38="","",COUNTIF(INDEX(NORMATIVOS!$C$3:$N$276,0,ROWS($A$4:A38)),"En proceso"))</f>
        <v/>
      </c>
      <c r="E38" s="12" t="str">
        <f>IF($A38="","",COUNTIF(INDEX(NORMATIVOS!$C$3:$N$276,0,ROWS($A$4:A38)),"Proyección"))</f>
        <v/>
      </c>
      <c r="F38" s="12" t="str">
        <f>IF($A38="","",COUNTIF(INDEX(NORMATIVOS!$C$3:$N$276,0,ROWS($A$4:A38)),"N/A"))</f>
        <v/>
      </c>
      <c r="G38" s="13" t="str">
        <f t="shared" si="2"/>
        <v/>
      </c>
      <c r="H38" s="42" t="str">
        <f t="shared" si="3"/>
        <v/>
      </c>
    </row>
    <row r="39" spans="1:8" x14ac:dyDescent="0.2">
      <c r="A39" s="12" t="str">
        <f>IFERROR(IF(INDEX(NORMATIVOS!$C$1:$N$1,1,ROWS($A$4:A39))="","",INDEX(NORMATIVOS!$C$1:$N$1,1,ROWS($A$4:A39))),"")</f>
        <v/>
      </c>
      <c r="B39" s="12" t="str">
        <f>IF($A39="","",COUNTA(INDEX(NORMATIVOS!$C$3:$N$276,0,ROWS($A$4:A39))))</f>
        <v/>
      </c>
      <c r="C39" s="12" t="str">
        <f>IF($A39="","",COUNTIF(INDEX(NORMATIVOS!$C$3:$N$276,0,ROWS($A$4:A39)),"Consolidado"))</f>
        <v/>
      </c>
      <c r="D39" s="12" t="str">
        <f>IF($A39="","",COUNTIF(INDEX(NORMATIVOS!$C$3:$N$276,0,ROWS($A$4:A39)),"En proceso"))</f>
        <v/>
      </c>
      <c r="E39" s="12" t="str">
        <f>IF($A39="","",COUNTIF(INDEX(NORMATIVOS!$C$3:$N$276,0,ROWS($A$4:A39)),"Proyección"))</f>
        <v/>
      </c>
      <c r="F39" s="12" t="str">
        <f>IF($A39="","",COUNTIF(INDEX(NORMATIVOS!$C$3:$N$276,0,ROWS($A$4:A39)),"N/A"))</f>
        <v/>
      </c>
      <c r="G39" s="13" t="str">
        <f t="shared" si="2"/>
        <v/>
      </c>
      <c r="H39" s="42" t="str">
        <f t="shared" si="3"/>
        <v/>
      </c>
    </row>
    <row r="40" spans="1:8" x14ac:dyDescent="0.2">
      <c r="A40" s="12" t="str">
        <f>IFERROR(IF(INDEX(NORMATIVOS!$C$1:$N$1,1,ROWS($A$4:A40))="","",INDEX(NORMATIVOS!$C$1:$N$1,1,ROWS($A$4:A40))),"")</f>
        <v/>
      </c>
      <c r="B40" s="12" t="str">
        <f>IF($A40="","",COUNTA(INDEX(NORMATIVOS!$C$3:$N$276,0,ROWS($A$4:A40))))</f>
        <v/>
      </c>
      <c r="C40" s="12" t="str">
        <f>IF($A40="","",COUNTIF(INDEX(NORMATIVOS!$C$3:$N$276,0,ROWS($A$4:A40)),"Consolidado"))</f>
        <v/>
      </c>
      <c r="D40" s="12" t="str">
        <f>IF($A40="","",COUNTIF(INDEX(NORMATIVOS!$C$3:$N$276,0,ROWS($A$4:A40)),"En proceso"))</f>
        <v/>
      </c>
      <c r="E40" s="12" t="str">
        <f>IF($A40="","",COUNTIF(INDEX(NORMATIVOS!$C$3:$N$276,0,ROWS($A$4:A40)),"Proyección"))</f>
        <v/>
      </c>
      <c r="F40" s="12" t="str">
        <f>IF($A40="","",COUNTIF(INDEX(NORMATIVOS!$C$3:$N$276,0,ROWS($A$4:A40)),"N/A"))</f>
        <v/>
      </c>
      <c r="G40" s="13" t="str">
        <f t="shared" si="2"/>
        <v/>
      </c>
      <c r="H40" s="42" t="str">
        <f t="shared" si="3"/>
        <v/>
      </c>
    </row>
    <row r="41" spans="1:8" x14ac:dyDescent="0.2">
      <c r="A41" s="12" t="str">
        <f>IFERROR(IF(INDEX(NORMATIVOS!$C$1:$N$1,1,ROWS($A$4:A41))="","",INDEX(NORMATIVOS!$C$1:$N$1,1,ROWS($A$4:A41))),"")</f>
        <v/>
      </c>
      <c r="B41" s="12" t="str">
        <f>IF($A41="","",COUNTA(INDEX(NORMATIVOS!$C$3:$N$276,0,ROWS($A$4:A41))))</f>
        <v/>
      </c>
      <c r="C41" s="12" t="str">
        <f>IF($A41="","",COUNTIF(INDEX(NORMATIVOS!$C$3:$N$276,0,ROWS($A$4:A41)),"Consolidado"))</f>
        <v/>
      </c>
      <c r="D41" s="12" t="str">
        <f>IF($A41="","",COUNTIF(INDEX(NORMATIVOS!$C$3:$N$276,0,ROWS($A$4:A41)),"En proceso"))</f>
        <v/>
      </c>
      <c r="E41" s="12" t="str">
        <f>IF($A41="","",COUNTIF(INDEX(NORMATIVOS!$C$3:$N$276,0,ROWS($A$4:A41)),"Proyección"))</f>
        <v/>
      </c>
      <c r="F41" s="12" t="str">
        <f>IF($A41="","",COUNTIF(INDEX(NORMATIVOS!$C$3:$N$276,0,ROWS($A$4:A41)),"N/A"))</f>
        <v/>
      </c>
      <c r="G41" s="13" t="str">
        <f t="shared" si="2"/>
        <v/>
      </c>
      <c r="H41" s="42" t="str">
        <f t="shared" si="3"/>
        <v/>
      </c>
    </row>
    <row r="42" spans="1:8" x14ac:dyDescent="0.2">
      <c r="A42" s="12" t="str">
        <f>IFERROR(IF(INDEX(NORMATIVOS!$C$1:$N$1,1,ROWS($A$4:A42))="","",INDEX(NORMATIVOS!$C$1:$N$1,1,ROWS($A$4:A42))),"")</f>
        <v/>
      </c>
      <c r="B42" s="12" t="str">
        <f>IF($A42="","",COUNTA(INDEX(NORMATIVOS!$C$3:$N$276,0,ROWS($A$4:A42))))</f>
        <v/>
      </c>
      <c r="C42" s="12" t="str">
        <f>IF($A42="","",COUNTIF(INDEX(NORMATIVOS!$C$3:$N$276,0,ROWS($A$4:A42)),"Consolidado"))</f>
        <v/>
      </c>
      <c r="D42" s="12" t="str">
        <f>IF($A42="","",COUNTIF(INDEX(NORMATIVOS!$C$3:$N$276,0,ROWS($A$4:A42)),"En proceso"))</f>
        <v/>
      </c>
      <c r="E42" s="12" t="str">
        <f>IF($A42="","",COUNTIF(INDEX(NORMATIVOS!$C$3:$N$276,0,ROWS($A$4:A42)),"Proyección"))</f>
        <v/>
      </c>
      <c r="F42" s="12" t="str">
        <f>IF($A42="","",COUNTIF(INDEX(NORMATIVOS!$C$3:$N$276,0,ROWS($A$4:A42)),"N/A"))</f>
        <v/>
      </c>
      <c r="G42" s="13" t="str">
        <f t="shared" si="2"/>
        <v/>
      </c>
      <c r="H42" s="42" t="str">
        <f t="shared" si="3"/>
        <v/>
      </c>
    </row>
    <row r="43" spans="1:8" x14ac:dyDescent="0.2">
      <c r="A43" s="12" t="str">
        <f>IFERROR(IF(INDEX(NORMATIVOS!$C$1:$N$1,1,ROWS($A$4:A43))="","",INDEX(NORMATIVOS!$C$1:$N$1,1,ROWS($A$4:A43))),"")</f>
        <v/>
      </c>
      <c r="B43" s="12" t="str">
        <f>IF($A43="","",COUNTA(INDEX(NORMATIVOS!$C$3:$N$276,0,ROWS($A$4:A43))))</f>
        <v/>
      </c>
      <c r="C43" s="12" t="str">
        <f>IF($A43="","",COUNTIF(INDEX(NORMATIVOS!$C$3:$N$276,0,ROWS($A$4:A43)),"Consolidado"))</f>
        <v/>
      </c>
      <c r="D43" s="12" t="str">
        <f>IF($A43="","",COUNTIF(INDEX(NORMATIVOS!$C$3:$N$276,0,ROWS($A$4:A43)),"En proceso"))</f>
        <v/>
      </c>
      <c r="E43" s="12" t="str">
        <f>IF($A43="","",COUNTIF(INDEX(NORMATIVOS!$C$3:$N$276,0,ROWS($A$4:A43)),"Proyección"))</f>
        <v/>
      </c>
      <c r="F43" s="12" t="str">
        <f>IF($A43="","",COUNTIF(INDEX(NORMATIVOS!$C$3:$N$276,0,ROWS($A$4:A43)),"N/A"))</f>
        <v/>
      </c>
      <c r="G43" s="13" t="str">
        <f t="shared" si="2"/>
        <v/>
      </c>
      <c r="H43" s="42" t="str">
        <f t="shared" si="3"/>
        <v/>
      </c>
    </row>
    <row r="44" spans="1:8" x14ac:dyDescent="0.2">
      <c r="A44" s="12" t="str">
        <f>IFERROR(IF(INDEX(NORMATIVOS!$C$1:$N$1,1,ROWS($A$4:A44))="","",INDEX(NORMATIVOS!$C$1:$N$1,1,ROWS($A$4:A44))),"")</f>
        <v/>
      </c>
      <c r="B44" s="12" t="str">
        <f>IF($A44="","",COUNTA(INDEX(NORMATIVOS!$C$3:$N$276,0,ROWS($A$4:A44))))</f>
        <v/>
      </c>
      <c r="C44" s="12" t="str">
        <f>IF($A44="","",COUNTIF(INDEX(NORMATIVOS!$C$3:$N$276,0,ROWS($A$4:A44)),"Consolidado"))</f>
        <v/>
      </c>
      <c r="D44" s="12" t="str">
        <f>IF($A44="","",COUNTIF(INDEX(NORMATIVOS!$C$3:$N$276,0,ROWS($A$4:A44)),"En proceso"))</f>
        <v/>
      </c>
      <c r="E44" s="12" t="str">
        <f>IF($A44="","",COUNTIF(INDEX(NORMATIVOS!$C$3:$N$276,0,ROWS($A$4:A44)),"Proyección"))</f>
        <v/>
      </c>
      <c r="F44" s="12" t="str">
        <f>IF($A44="","",COUNTIF(INDEX(NORMATIVOS!$C$3:$N$276,0,ROWS($A$4:A44)),"N/A"))</f>
        <v/>
      </c>
      <c r="G44" s="13" t="str">
        <f t="shared" si="2"/>
        <v/>
      </c>
      <c r="H44" s="42" t="str">
        <f t="shared" si="3"/>
        <v/>
      </c>
    </row>
    <row r="45" spans="1:8" x14ac:dyDescent="0.2">
      <c r="A45" s="12" t="str">
        <f>IFERROR(IF(INDEX(NORMATIVOS!$C$1:$N$1,1,ROWS($A$4:A45))="","",INDEX(NORMATIVOS!$C$1:$N$1,1,ROWS($A$4:A45))),"")</f>
        <v/>
      </c>
      <c r="B45" s="12" t="str">
        <f>IF($A45="","",COUNTA(INDEX(NORMATIVOS!$C$3:$N$276,0,ROWS($A$4:A45))))</f>
        <v/>
      </c>
      <c r="C45" s="12" t="str">
        <f>IF($A45="","",COUNTIF(INDEX(NORMATIVOS!$C$3:$N$276,0,ROWS($A$4:A45)),"Consolidado"))</f>
        <v/>
      </c>
      <c r="D45" s="12" t="str">
        <f>IF($A45="","",COUNTIF(INDEX(NORMATIVOS!$C$3:$N$276,0,ROWS($A$4:A45)),"En proceso"))</f>
        <v/>
      </c>
      <c r="E45" s="12" t="str">
        <f>IF($A45="","",COUNTIF(INDEX(NORMATIVOS!$C$3:$N$276,0,ROWS($A$4:A45)),"Proyección"))</f>
        <v/>
      </c>
      <c r="F45" s="12" t="str">
        <f>IF($A45="","",COUNTIF(INDEX(NORMATIVOS!$C$3:$N$276,0,ROWS($A$4:A45)),"N/A"))</f>
        <v/>
      </c>
      <c r="G45" s="13" t="str">
        <f t="shared" si="2"/>
        <v/>
      </c>
      <c r="H45" s="42" t="str">
        <f t="shared" si="3"/>
        <v/>
      </c>
    </row>
    <row r="46" spans="1:8" x14ac:dyDescent="0.2">
      <c r="A46" s="12" t="str">
        <f>IFERROR(IF(INDEX(NORMATIVOS!$C$1:$N$1,1,ROWS($A$4:A46))="","",INDEX(NORMATIVOS!$C$1:$N$1,1,ROWS($A$4:A46))),"")</f>
        <v/>
      </c>
      <c r="B46" s="12" t="str">
        <f>IF($A46="","",COUNTA(INDEX(NORMATIVOS!$C$3:$N$276,0,ROWS($A$4:A46))))</f>
        <v/>
      </c>
      <c r="C46" s="12" t="str">
        <f>IF($A46="","",COUNTIF(INDEX(NORMATIVOS!$C$3:$N$276,0,ROWS($A$4:A46)),"Consolidado"))</f>
        <v/>
      </c>
      <c r="D46" s="12" t="str">
        <f>IF($A46="","",COUNTIF(INDEX(NORMATIVOS!$C$3:$N$276,0,ROWS($A$4:A46)),"En proceso"))</f>
        <v/>
      </c>
      <c r="E46" s="12" t="str">
        <f>IF($A46="","",COUNTIF(INDEX(NORMATIVOS!$C$3:$N$276,0,ROWS($A$4:A46)),"Proyección"))</f>
        <v/>
      </c>
      <c r="F46" s="12" t="str">
        <f>IF($A46="","",COUNTIF(INDEX(NORMATIVOS!$C$3:$N$276,0,ROWS($A$4:A46)),"N/A"))</f>
        <v/>
      </c>
      <c r="G46" s="13" t="str">
        <f t="shared" si="2"/>
        <v/>
      </c>
      <c r="H46" s="42" t="str">
        <f t="shared" si="3"/>
        <v/>
      </c>
    </row>
    <row r="47" spans="1:8" x14ac:dyDescent="0.2">
      <c r="A47" s="12" t="str">
        <f>IFERROR(IF(INDEX(NORMATIVOS!$C$1:$N$1,1,ROWS($A$4:A47))="","",INDEX(NORMATIVOS!$C$1:$N$1,1,ROWS($A$4:A47))),"")</f>
        <v/>
      </c>
      <c r="B47" s="12" t="str">
        <f>IF($A47="","",COUNTA(INDEX(NORMATIVOS!$C$3:$N$276,0,ROWS($A$4:A47))))</f>
        <v/>
      </c>
      <c r="C47" s="12" t="str">
        <f>IF($A47="","",COUNTIF(INDEX(NORMATIVOS!$C$3:$N$276,0,ROWS($A$4:A47)),"Consolidado"))</f>
        <v/>
      </c>
      <c r="D47" s="12" t="str">
        <f>IF($A47="","",COUNTIF(INDEX(NORMATIVOS!$C$3:$N$276,0,ROWS($A$4:A47)),"En proceso"))</f>
        <v/>
      </c>
      <c r="E47" s="12" t="str">
        <f>IF($A47="","",COUNTIF(INDEX(NORMATIVOS!$C$3:$N$276,0,ROWS($A$4:A47)),"Proyección"))</f>
        <v/>
      </c>
      <c r="F47" s="12" t="str">
        <f>IF($A47="","",COUNTIF(INDEX(NORMATIVOS!$C$3:$N$276,0,ROWS($A$4:A47)),"N/A"))</f>
        <v/>
      </c>
      <c r="G47" s="13" t="str">
        <f t="shared" si="2"/>
        <v/>
      </c>
      <c r="H47" s="42" t="str">
        <f t="shared" si="3"/>
        <v/>
      </c>
    </row>
    <row r="48" spans="1:8" x14ac:dyDescent="0.2">
      <c r="A48" s="12" t="str">
        <f>IFERROR(IF(INDEX(NORMATIVOS!$C$1:$N$1,1,ROWS($A$4:A48))="","",INDEX(NORMATIVOS!$C$1:$N$1,1,ROWS($A$4:A48))),"")</f>
        <v/>
      </c>
      <c r="B48" s="12" t="str">
        <f>IF($A48="","",COUNTA(INDEX(NORMATIVOS!$C$3:$N$276,0,ROWS($A$4:A48))))</f>
        <v/>
      </c>
      <c r="C48" s="12" t="str">
        <f>IF($A48="","",COUNTIF(INDEX(NORMATIVOS!$C$3:$N$276,0,ROWS($A$4:A48)),"Consolidado"))</f>
        <v/>
      </c>
      <c r="D48" s="12" t="str">
        <f>IF($A48="","",COUNTIF(INDEX(NORMATIVOS!$C$3:$N$276,0,ROWS($A$4:A48)),"En proceso"))</f>
        <v/>
      </c>
      <c r="E48" s="12" t="str">
        <f>IF($A48="","",COUNTIF(INDEX(NORMATIVOS!$C$3:$N$276,0,ROWS($A$4:A48)),"Proyección"))</f>
        <v/>
      </c>
      <c r="F48" s="12" t="str">
        <f>IF($A48="","",COUNTIF(INDEX(NORMATIVOS!$C$3:$N$276,0,ROWS($A$4:A48)),"N/A"))</f>
        <v/>
      </c>
      <c r="G48" s="13" t="str">
        <f t="shared" si="2"/>
        <v/>
      </c>
      <c r="H48" s="42" t="str">
        <f t="shared" si="3"/>
        <v/>
      </c>
    </row>
    <row r="49" spans="1:8" x14ac:dyDescent="0.2">
      <c r="A49" s="12" t="str">
        <f>IFERROR(IF(INDEX(NORMATIVOS!$C$1:$N$1,1,ROWS($A$4:A49))="","",INDEX(NORMATIVOS!$C$1:$N$1,1,ROWS($A$4:A49))),"")</f>
        <v/>
      </c>
      <c r="B49" s="12" t="str">
        <f>IF($A49="","",COUNTA(INDEX(NORMATIVOS!$C$3:$N$276,0,ROWS($A$4:A49))))</f>
        <v/>
      </c>
      <c r="C49" s="12" t="str">
        <f>IF($A49="","",COUNTIF(INDEX(NORMATIVOS!$C$3:$N$276,0,ROWS($A$4:A49)),"Consolidado"))</f>
        <v/>
      </c>
      <c r="D49" s="12" t="str">
        <f>IF($A49="","",COUNTIF(INDEX(NORMATIVOS!$C$3:$N$276,0,ROWS($A$4:A49)),"En proceso"))</f>
        <v/>
      </c>
      <c r="E49" s="12" t="str">
        <f>IF($A49="","",COUNTIF(INDEX(NORMATIVOS!$C$3:$N$276,0,ROWS($A$4:A49)),"Proyección"))</f>
        <v/>
      </c>
      <c r="F49" s="12" t="str">
        <f>IF($A49="","",COUNTIF(INDEX(NORMATIVOS!$C$3:$N$276,0,ROWS($A$4:A49)),"N/A"))</f>
        <v/>
      </c>
      <c r="G49" s="13" t="str">
        <f t="shared" si="2"/>
        <v/>
      </c>
      <c r="H49" s="42" t="str">
        <f t="shared" si="3"/>
        <v/>
      </c>
    </row>
    <row r="50" spans="1:8" x14ac:dyDescent="0.2">
      <c r="A50" s="12" t="str">
        <f>IFERROR(IF(INDEX(NORMATIVOS!$C$1:$N$1,1,ROWS($A$4:A50))="","",INDEX(NORMATIVOS!$C$1:$N$1,1,ROWS($A$4:A50))),"")</f>
        <v/>
      </c>
      <c r="B50" s="12" t="str">
        <f>IF($A50="","",COUNTA(INDEX(NORMATIVOS!$C$3:$N$276,0,ROWS($A$4:A50))))</f>
        <v/>
      </c>
      <c r="C50" s="12" t="str">
        <f>IF($A50="","",COUNTIF(INDEX(NORMATIVOS!$C$3:$N$276,0,ROWS($A$4:A50)),"Consolidado"))</f>
        <v/>
      </c>
      <c r="D50" s="12" t="str">
        <f>IF($A50="","",COUNTIF(INDEX(NORMATIVOS!$C$3:$N$276,0,ROWS($A$4:A50)),"En proceso"))</f>
        <v/>
      </c>
      <c r="E50" s="12" t="str">
        <f>IF($A50="","",COUNTIF(INDEX(NORMATIVOS!$C$3:$N$276,0,ROWS($A$4:A50)),"Proyección"))</f>
        <v/>
      </c>
      <c r="F50" s="12" t="str">
        <f>IF($A50="","",COUNTIF(INDEX(NORMATIVOS!$C$3:$N$276,0,ROWS($A$4:A50)),"N/A"))</f>
        <v/>
      </c>
      <c r="G50" s="13" t="str">
        <f t="shared" si="2"/>
        <v/>
      </c>
      <c r="H50" s="42" t="str">
        <f t="shared" si="3"/>
        <v/>
      </c>
    </row>
    <row r="51" spans="1:8" x14ac:dyDescent="0.2">
      <c r="A51" s="12" t="str">
        <f>IFERROR(IF(INDEX(NORMATIVOS!$C$1:$N$1,1,ROWS($A$4:A51))="","",INDEX(NORMATIVOS!$C$1:$N$1,1,ROWS($A$4:A51))),"")</f>
        <v/>
      </c>
      <c r="B51" s="12" t="str">
        <f>IF($A51="","",COUNTA(INDEX(NORMATIVOS!$C$3:$N$276,0,ROWS($A$4:A51))))</f>
        <v/>
      </c>
      <c r="C51" s="12" t="str">
        <f>IF($A51="","",COUNTIF(INDEX(NORMATIVOS!$C$3:$N$276,0,ROWS($A$4:A51)),"Consolidado"))</f>
        <v/>
      </c>
      <c r="D51" s="12" t="str">
        <f>IF($A51="","",COUNTIF(INDEX(NORMATIVOS!$C$3:$N$276,0,ROWS($A$4:A51)),"En proceso"))</f>
        <v/>
      </c>
      <c r="E51" s="12" t="str">
        <f>IF($A51="","",COUNTIF(INDEX(NORMATIVOS!$C$3:$N$276,0,ROWS($A$4:A51)),"Proyección"))</f>
        <v/>
      </c>
      <c r="F51" s="12" t="str">
        <f>IF($A51="","",COUNTIF(INDEX(NORMATIVOS!$C$3:$N$276,0,ROWS($A$4:A51)),"N/A"))</f>
        <v/>
      </c>
      <c r="G51" s="13" t="str">
        <f t="shared" si="2"/>
        <v/>
      </c>
      <c r="H51" s="42" t="str">
        <f t="shared" si="3"/>
        <v/>
      </c>
    </row>
    <row r="52" spans="1:8" x14ac:dyDescent="0.2">
      <c r="A52" s="12" t="str">
        <f>IFERROR(IF(INDEX(NORMATIVOS!$C$1:$N$1,1,ROWS($A$4:A52))="","",INDEX(NORMATIVOS!$C$1:$N$1,1,ROWS($A$4:A52))),"")</f>
        <v/>
      </c>
      <c r="B52" s="12" t="str">
        <f>IF($A52="","",COUNTA(INDEX(NORMATIVOS!$C$3:$N$276,0,ROWS($A$4:A52))))</f>
        <v/>
      </c>
      <c r="C52" s="12" t="str">
        <f>IF($A52="","",COUNTIF(INDEX(NORMATIVOS!$C$3:$N$276,0,ROWS($A$4:A52)),"Consolidado"))</f>
        <v/>
      </c>
      <c r="D52" s="12" t="str">
        <f>IF($A52="","",COUNTIF(INDEX(NORMATIVOS!$C$3:$N$276,0,ROWS($A$4:A52)),"En proceso"))</f>
        <v/>
      </c>
      <c r="E52" s="12" t="str">
        <f>IF($A52="","",COUNTIF(INDEX(NORMATIVOS!$C$3:$N$276,0,ROWS($A$4:A52)),"Proyección"))</f>
        <v/>
      </c>
      <c r="F52" s="12" t="str">
        <f>IF($A52="","",COUNTIF(INDEX(NORMATIVOS!$C$3:$N$276,0,ROWS($A$4:A52)),"N/A"))</f>
        <v/>
      </c>
      <c r="G52" s="13" t="str">
        <f t="shared" si="2"/>
        <v/>
      </c>
      <c r="H52" s="42" t="str">
        <f t="shared" si="3"/>
        <v/>
      </c>
    </row>
    <row r="53" spans="1:8" x14ac:dyDescent="0.2">
      <c r="A53" s="12" t="str">
        <f>IFERROR(IF(INDEX(NORMATIVOS!$C$1:$N$1,1,ROWS($A$4:A53))="","",INDEX(NORMATIVOS!$C$1:$N$1,1,ROWS($A$4:A53))),"")</f>
        <v/>
      </c>
      <c r="B53" s="12" t="str">
        <f>IF($A53="","",COUNTA(INDEX(NORMATIVOS!$C$3:$N$276,0,ROWS($A$4:A53))))</f>
        <v/>
      </c>
      <c r="C53" s="12" t="str">
        <f>IF($A53="","",COUNTIF(INDEX(NORMATIVOS!$C$3:$N$276,0,ROWS($A$4:A53)),"Consolidado"))</f>
        <v/>
      </c>
      <c r="D53" s="12" t="str">
        <f>IF($A53="","",COUNTIF(INDEX(NORMATIVOS!$C$3:$N$276,0,ROWS($A$4:A53)),"En proceso"))</f>
        <v/>
      </c>
      <c r="E53" s="12" t="str">
        <f>IF($A53="","",COUNTIF(INDEX(NORMATIVOS!$C$3:$N$276,0,ROWS($A$4:A53)),"Proyección"))</f>
        <v/>
      </c>
      <c r="F53" s="12" t="str">
        <f>IF($A53="","",COUNTIF(INDEX(NORMATIVOS!$C$3:$N$276,0,ROWS($A$4:A53)),"N/A"))</f>
        <v/>
      </c>
      <c r="G53" s="13" t="str">
        <f t="shared" si="2"/>
        <v/>
      </c>
      <c r="H53" s="42" t="str">
        <f t="shared" si="3"/>
        <v/>
      </c>
    </row>
    <row r="54" spans="1:8" x14ac:dyDescent="0.2">
      <c r="A54" s="12" t="str">
        <f>IFERROR(IF(INDEX(NORMATIVOS!$C$1:$N$1,1,ROWS($A$4:A54))="","",INDEX(NORMATIVOS!$C$1:$N$1,1,ROWS($A$4:A54))),"")</f>
        <v/>
      </c>
      <c r="B54" s="12" t="str">
        <f>IF($A54="","",COUNTA(INDEX(NORMATIVOS!$C$3:$N$276,0,ROWS($A$4:A54))))</f>
        <v/>
      </c>
      <c r="C54" s="12" t="str">
        <f>IF($A54="","",COUNTIF(INDEX(NORMATIVOS!$C$3:$N$276,0,ROWS($A$4:A54)),"Consolidado"))</f>
        <v/>
      </c>
      <c r="D54" s="12" t="str">
        <f>IF($A54="","",COUNTIF(INDEX(NORMATIVOS!$C$3:$N$276,0,ROWS($A$4:A54)),"En proceso"))</f>
        <v/>
      </c>
      <c r="E54" s="12" t="str">
        <f>IF($A54="","",COUNTIF(INDEX(NORMATIVOS!$C$3:$N$276,0,ROWS($A$4:A54)),"Proyección"))</f>
        <v/>
      </c>
      <c r="F54" s="12" t="str">
        <f>IF($A54="","",COUNTIF(INDEX(NORMATIVOS!$C$3:$N$276,0,ROWS($A$4:A54)),"N/A"))</f>
        <v/>
      </c>
      <c r="G54" s="13" t="str">
        <f t="shared" si="2"/>
        <v/>
      </c>
      <c r="H54" s="42" t="str">
        <f t="shared" si="3"/>
        <v/>
      </c>
    </row>
    <row r="55" spans="1:8" x14ac:dyDescent="0.2">
      <c r="A55" s="12" t="str">
        <f>IFERROR(IF(INDEX(NORMATIVOS!$C$1:$N$1,1,ROWS($A$4:A55))="","",INDEX(NORMATIVOS!$C$1:$N$1,1,ROWS($A$4:A55))),"")</f>
        <v/>
      </c>
      <c r="B55" s="12" t="str">
        <f>IF($A55="","",COUNTA(INDEX(NORMATIVOS!$C$3:$N$276,0,ROWS($A$4:A55))))</f>
        <v/>
      </c>
      <c r="C55" s="12" t="str">
        <f>IF($A55="","",COUNTIF(INDEX(NORMATIVOS!$C$3:$N$276,0,ROWS($A$4:A55)),"Consolidado"))</f>
        <v/>
      </c>
      <c r="D55" s="12" t="str">
        <f>IF($A55="","",COUNTIF(INDEX(NORMATIVOS!$C$3:$N$276,0,ROWS($A$4:A55)),"En proceso"))</f>
        <v/>
      </c>
      <c r="E55" s="12" t="str">
        <f>IF($A55="","",COUNTIF(INDEX(NORMATIVOS!$C$3:$N$276,0,ROWS($A$4:A55)),"Proyección"))</f>
        <v/>
      </c>
      <c r="F55" s="12" t="str">
        <f>IF($A55="","",COUNTIF(INDEX(NORMATIVOS!$C$3:$N$276,0,ROWS($A$4:A55)),"N/A"))</f>
        <v/>
      </c>
      <c r="G55" s="13" t="str">
        <f t="shared" si="2"/>
        <v/>
      </c>
      <c r="H55" s="42" t="str">
        <f t="shared" si="3"/>
        <v/>
      </c>
    </row>
    <row r="56" spans="1:8" x14ac:dyDescent="0.2">
      <c r="A56" s="12" t="str">
        <f>IFERROR(IF(INDEX(NORMATIVOS!$C$1:$N$1,1,ROWS($A$4:A56))="","",INDEX(NORMATIVOS!$C$1:$N$1,1,ROWS($A$4:A56))),"")</f>
        <v/>
      </c>
      <c r="B56" s="12" t="str">
        <f>IF($A56="","",COUNTA(INDEX(NORMATIVOS!$C$3:$N$276,0,ROWS($A$4:A56))))</f>
        <v/>
      </c>
      <c r="C56" s="12" t="str">
        <f>IF($A56="","",COUNTIF(INDEX(NORMATIVOS!$C$3:$N$276,0,ROWS($A$4:A56)),"Consolidado"))</f>
        <v/>
      </c>
      <c r="D56" s="12" t="str">
        <f>IF($A56="","",COUNTIF(INDEX(NORMATIVOS!$C$3:$N$276,0,ROWS($A$4:A56)),"En proceso"))</f>
        <v/>
      </c>
      <c r="E56" s="12" t="str">
        <f>IF($A56="","",COUNTIF(INDEX(NORMATIVOS!$C$3:$N$276,0,ROWS($A$4:A56)),"Proyección"))</f>
        <v/>
      </c>
      <c r="F56" s="12" t="str">
        <f>IF($A56="","",COUNTIF(INDEX(NORMATIVOS!$C$3:$N$276,0,ROWS($A$4:A56)),"N/A"))</f>
        <v/>
      </c>
      <c r="G56" s="13" t="str">
        <f t="shared" si="2"/>
        <v/>
      </c>
      <c r="H56" s="42" t="str">
        <f t="shared" si="3"/>
        <v/>
      </c>
    </row>
    <row r="57" spans="1:8" x14ac:dyDescent="0.2">
      <c r="A57" s="12" t="str">
        <f>IFERROR(IF(INDEX(NORMATIVOS!$C$1:$N$1,1,ROWS($A$4:A57))="","",INDEX(NORMATIVOS!$C$1:$N$1,1,ROWS($A$4:A57))),"")</f>
        <v/>
      </c>
      <c r="B57" s="12" t="str">
        <f>IF($A57="","",COUNTA(INDEX(NORMATIVOS!$C$3:$N$276,0,ROWS($A$4:A57))))</f>
        <v/>
      </c>
      <c r="C57" s="12" t="str">
        <f>IF($A57="","",COUNTIF(INDEX(NORMATIVOS!$C$3:$N$276,0,ROWS($A$4:A57)),"Consolidado"))</f>
        <v/>
      </c>
      <c r="D57" s="12" t="str">
        <f>IF($A57="","",COUNTIF(INDEX(NORMATIVOS!$C$3:$N$276,0,ROWS($A$4:A57)),"En proceso"))</f>
        <v/>
      </c>
      <c r="E57" s="12" t="str">
        <f>IF($A57="","",COUNTIF(INDEX(NORMATIVOS!$C$3:$N$276,0,ROWS($A$4:A57)),"Proyección"))</f>
        <v/>
      </c>
      <c r="F57" s="12" t="str">
        <f>IF($A57="","",COUNTIF(INDEX(NORMATIVOS!$C$3:$N$276,0,ROWS($A$4:A57)),"N/A"))</f>
        <v/>
      </c>
      <c r="G57" s="13" t="str">
        <f t="shared" si="2"/>
        <v/>
      </c>
      <c r="H57" s="42" t="str">
        <f t="shared" si="3"/>
        <v/>
      </c>
    </row>
    <row r="58" spans="1:8" x14ac:dyDescent="0.2">
      <c r="A58" s="12" t="str">
        <f>IFERROR(IF(INDEX(NORMATIVOS!$C$1:$N$1,1,ROWS($A$4:A58))="","",INDEX(NORMATIVOS!$C$1:$N$1,1,ROWS($A$4:A58))),"")</f>
        <v/>
      </c>
      <c r="B58" s="12" t="str">
        <f>IF($A58="","",COUNTA(INDEX(NORMATIVOS!$C$3:$N$276,0,ROWS($A$4:A58))))</f>
        <v/>
      </c>
      <c r="C58" s="12" t="str">
        <f>IF($A58="","",COUNTIF(INDEX(NORMATIVOS!$C$3:$N$276,0,ROWS($A$4:A58)),"Consolidado"))</f>
        <v/>
      </c>
      <c r="D58" s="12" t="str">
        <f>IF($A58="","",COUNTIF(INDEX(NORMATIVOS!$C$3:$N$276,0,ROWS($A$4:A58)),"En proceso"))</f>
        <v/>
      </c>
      <c r="E58" s="12" t="str">
        <f>IF($A58="","",COUNTIF(INDEX(NORMATIVOS!$C$3:$N$276,0,ROWS($A$4:A58)),"Proyección"))</f>
        <v/>
      </c>
      <c r="F58" s="12" t="str">
        <f>IF($A58="","",COUNTIF(INDEX(NORMATIVOS!$C$3:$N$276,0,ROWS($A$4:A58)),"N/A"))</f>
        <v/>
      </c>
      <c r="G58" s="13" t="str">
        <f t="shared" si="2"/>
        <v/>
      </c>
      <c r="H58" s="42" t="str">
        <f t="shared" si="3"/>
        <v/>
      </c>
    </row>
    <row r="59" spans="1:8" x14ac:dyDescent="0.2">
      <c r="A59" s="12" t="str">
        <f>IFERROR(IF(INDEX(NORMATIVOS!$C$1:$N$1,1,ROWS($A$4:A59))="","",INDEX(NORMATIVOS!$C$1:$N$1,1,ROWS($A$4:A59))),"")</f>
        <v/>
      </c>
      <c r="B59" s="12" t="str">
        <f>IF($A59="","",COUNTA(INDEX(NORMATIVOS!$C$3:$N$276,0,ROWS($A$4:A59))))</f>
        <v/>
      </c>
      <c r="C59" s="12" t="str">
        <f>IF($A59="","",COUNTIF(INDEX(NORMATIVOS!$C$3:$N$276,0,ROWS($A$4:A59)),"Consolidado"))</f>
        <v/>
      </c>
      <c r="D59" s="12" t="str">
        <f>IF($A59="","",COUNTIF(INDEX(NORMATIVOS!$C$3:$N$276,0,ROWS($A$4:A59)),"En proceso"))</f>
        <v/>
      </c>
      <c r="E59" s="12" t="str">
        <f>IF($A59="","",COUNTIF(INDEX(NORMATIVOS!$C$3:$N$276,0,ROWS($A$4:A59)),"Proyección"))</f>
        <v/>
      </c>
      <c r="F59" s="12" t="str">
        <f>IF($A59="","",COUNTIF(INDEX(NORMATIVOS!$C$3:$N$276,0,ROWS($A$4:A59)),"N/A"))</f>
        <v/>
      </c>
      <c r="G59" s="13" t="str">
        <f t="shared" si="2"/>
        <v/>
      </c>
      <c r="H59" s="42" t="str">
        <f t="shared" si="3"/>
        <v/>
      </c>
    </row>
    <row r="60" spans="1:8" x14ac:dyDescent="0.2">
      <c r="A60" s="12" t="str">
        <f>IFERROR(IF(INDEX(NORMATIVOS!$C$1:$N$1,1,ROWS($A$4:A60))="","",INDEX(NORMATIVOS!$C$1:$N$1,1,ROWS($A$4:A60))),"")</f>
        <v/>
      </c>
      <c r="B60" s="12" t="str">
        <f>IF($A60="","",COUNTA(INDEX(NORMATIVOS!$C$3:$N$276,0,ROWS($A$4:A60))))</f>
        <v/>
      </c>
      <c r="C60" s="12" t="str">
        <f>IF($A60="","",COUNTIF(INDEX(NORMATIVOS!$C$3:$N$276,0,ROWS($A$4:A60)),"Consolidado"))</f>
        <v/>
      </c>
      <c r="D60" s="12" t="str">
        <f>IF($A60="","",COUNTIF(INDEX(NORMATIVOS!$C$3:$N$276,0,ROWS($A$4:A60)),"En proceso"))</f>
        <v/>
      </c>
      <c r="E60" s="12" t="str">
        <f>IF($A60="","",COUNTIF(INDEX(NORMATIVOS!$C$3:$N$276,0,ROWS($A$4:A60)),"Proyección"))</f>
        <v/>
      </c>
      <c r="F60" s="12" t="str">
        <f>IF($A60="","",COUNTIF(INDEX(NORMATIVOS!$C$3:$N$276,0,ROWS($A$4:A60)),"N/A"))</f>
        <v/>
      </c>
      <c r="G60" s="13" t="str">
        <f t="shared" si="2"/>
        <v/>
      </c>
      <c r="H60" s="42" t="str">
        <f t="shared" si="3"/>
        <v/>
      </c>
    </row>
    <row r="61" spans="1:8" x14ac:dyDescent="0.2">
      <c r="A61" s="12" t="str">
        <f>IFERROR(IF(INDEX(NORMATIVOS!$C$1:$N$1,1,ROWS($A$4:A61))="","",INDEX(NORMATIVOS!$C$1:$N$1,1,ROWS($A$4:A61))),"")</f>
        <v/>
      </c>
      <c r="B61" s="12" t="str">
        <f>IF($A61="","",COUNTA(INDEX(NORMATIVOS!$C$3:$N$276,0,ROWS($A$4:A61))))</f>
        <v/>
      </c>
      <c r="C61" s="12" t="str">
        <f>IF($A61="","",COUNTIF(INDEX(NORMATIVOS!$C$3:$N$276,0,ROWS($A$4:A61)),"Consolidado"))</f>
        <v/>
      </c>
      <c r="D61" s="12" t="str">
        <f>IF($A61="","",COUNTIF(INDEX(NORMATIVOS!$C$3:$N$276,0,ROWS($A$4:A61)),"En proceso"))</f>
        <v/>
      </c>
      <c r="E61" s="12" t="str">
        <f>IF($A61="","",COUNTIF(INDEX(NORMATIVOS!$C$3:$N$276,0,ROWS($A$4:A61)),"Proyección"))</f>
        <v/>
      </c>
      <c r="F61" s="12" t="str">
        <f>IF($A61="","",COUNTIF(INDEX(NORMATIVOS!$C$3:$N$276,0,ROWS($A$4:A61)),"N/A"))</f>
        <v/>
      </c>
      <c r="G61" s="13" t="str">
        <f t="shared" si="2"/>
        <v/>
      </c>
      <c r="H61" s="42" t="str">
        <f t="shared" si="3"/>
        <v/>
      </c>
    </row>
    <row r="62" spans="1:8" x14ac:dyDescent="0.2">
      <c r="A62" s="12" t="str">
        <f>IFERROR(IF(INDEX(NORMATIVOS!$C$1:$N$1,1,ROWS($A$4:A62))="","",INDEX(NORMATIVOS!$C$1:$N$1,1,ROWS($A$4:A62))),"")</f>
        <v/>
      </c>
      <c r="B62" s="12" t="str">
        <f>IF($A62="","",COUNTA(INDEX(NORMATIVOS!$C$3:$N$276,0,ROWS($A$4:A62))))</f>
        <v/>
      </c>
      <c r="C62" s="12" t="str">
        <f>IF($A62="","",COUNTIF(INDEX(NORMATIVOS!$C$3:$N$276,0,ROWS($A$4:A62)),"Consolidado"))</f>
        <v/>
      </c>
      <c r="D62" s="12" t="str">
        <f>IF($A62="","",COUNTIF(INDEX(NORMATIVOS!$C$3:$N$276,0,ROWS($A$4:A62)),"En proceso"))</f>
        <v/>
      </c>
      <c r="E62" s="12" t="str">
        <f>IF($A62="","",COUNTIF(INDEX(NORMATIVOS!$C$3:$N$276,0,ROWS($A$4:A62)),"Proyección"))</f>
        <v/>
      </c>
      <c r="F62" s="12" t="str">
        <f>IF($A62="","",COUNTIF(INDEX(NORMATIVOS!$C$3:$N$276,0,ROWS($A$4:A62)),"N/A"))</f>
        <v/>
      </c>
      <c r="G62" s="13" t="str">
        <f t="shared" si="2"/>
        <v/>
      </c>
      <c r="H62" s="42" t="str">
        <f t="shared" si="3"/>
        <v/>
      </c>
    </row>
    <row r="63" spans="1:8" x14ac:dyDescent="0.2">
      <c r="A63" s="12" t="str">
        <f>IFERROR(IF(INDEX(NORMATIVOS!$C$1:$N$1,1,ROWS($A$4:A63))="","",INDEX(NORMATIVOS!$C$1:$N$1,1,ROWS($A$4:A63))),"")</f>
        <v/>
      </c>
      <c r="B63" s="12" t="str">
        <f>IF($A63="","",COUNTA(INDEX(NORMATIVOS!$C$3:$N$276,0,ROWS($A$4:A63))))</f>
        <v/>
      </c>
      <c r="C63" s="12" t="str">
        <f>IF($A63="","",COUNTIF(INDEX(NORMATIVOS!$C$3:$N$276,0,ROWS($A$4:A63)),"Consolidado"))</f>
        <v/>
      </c>
      <c r="D63" s="12" t="str">
        <f>IF($A63="","",COUNTIF(INDEX(NORMATIVOS!$C$3:$N$276,0,ROWS($A$4:A63)),"En proceso"))</f>
        <v/>
      </c>
      <c r="E63" s="12" t="str">
        <f>IF($A63="","",COUNTIF(INDEX(NORMATIVOS!$C$3:$N$276,0,ROWS($A$4:A63)),"Proyección"))</f>
        <v/>
      </c>
      <c r="F63" s="12" t="str">
        <f>IF($A63="","",COUNTIF(INDEX(NORMATIVOS!$C$3:$N$276,0,ROWS($A$4:A63)),"N/A"))</f>
        <v/>
      </c>
      <c r="G63" s="13" t="str">
        <f t="shared" si="2"/>
        <v/>
      </c>
      <c r="H63" s="42" t="str">
        <f t="shared" si="3"/>
        <v/>
      </c>
    </row>
    <row r="64" spans="1:8" x14ac:dyDescent="0.2">
      <c r="A64" s="12" t="str">
        <f>IFERROR(IF(INDEX(NORMATIVOS!$C$1:$N$1,1,ROWS($A$4:A64))="","",INDEX(NORMATIVOS!$C$1:$N$1,1,ROWS($A$4:A64))),"")</f>
        <v/>
      </c>
      <c r="B64" s="12" t="str">
        <f>IF($A64="","",COUNTA(INDEX(NORMATIVOS!$C$3:$N$276,0,ROWS($A$4:A64))))</f>
        <v/>
      </c>
      <c r="C64" s="12" t="str">
        <f>IF($A64="","",COUNTIF(INDEX(NORMATIVOS!$C$3:$N$276,0,ROWS($A$4:A64)),"Consolidado"))</f>
        <v/>
      </c>
      <c r="D64" s="12" t="str">
        <f>IF($A64="","",COUNTIF(INDEX(NORMATIVOS!$C$3:$N$276,0,ROWS($A$4:A64)),"En proceso"))</f>
        <v/>
      </c>
      <c r="E64" s="12" t="str">
        <f>IF($A64="","",COUNTIF(INDEX(NORMATIVOS!$C$3:$N$276,0,ROWS($A$4:A64)),"Proyección"))</f>
        <v/>
      </c>
      <c r="F64" s="12" t="str">
        <f>IF($A64="","",COUNTIF(INDEX(NORMATIVOS!$C$3:$N$276,0,ROWS($A$4:A64)),"N/A"))</f>
        <v/>
      </c>
      <c r="G64" s="13" t="str">
        <f t="shared" si="2"/>
        <v/>
      </c>
      <c r="H64" s="42" t="str">
        <f t="shared" si="3"/>
        <v/>
      </c>
    </row>
    <row r="65" spans="1:8" x14ac:dyDescent="0.2">
      <c r="A65" s="12" t="str">
        <f>IFERROR(IF(INDEX(NORMATIVOS!$C$1:$N$1,1,ROWS($A$4:A65))="","",INDEX(NORMATIVOS!$C$1:$N$1,1,ROWS($A$4:A65))),"")</f>
        <v/>
      </c>
      <c r="B65" s="12" t="str">
        <f>IF($A65="","",COUNTA(INDEX(NORMATIVOS!$C$3:$N$276,0,ROWS($A$4:A65))))</f>
        <v/>
      </c>
      <c r="C65" s="12" t="str">
        <f>IF($A65="","",COUNTIF(INDEX(NORMATIVOS!$C$3:$N$276,0,ROWS($A$4:A65)),"Consolidado"))</f>
        <v/>
      </c>
      <c r="D65" s="12" t="str">
        <f>IF($A65="","",COUNTIF(INDEX(NORMATIVOS!$C$3:$N$276,0,ROWS($A$4:A65)),"En proceso"))</f>
        <v/>
      </c>
      <c r="E65" s="12" t="str">
        <f>IF($A65="","",COUNTIF(INDEX(NORMATIVOS!$C$3:$N$276,0,ROWS($A$4:A65)),"Proyección"))</f>
        <v/>
      </c>
      <c r="F65" s="12" t="str">
        <f>IF($A65="","",COUNTIF(INDEX(NORMATIVOS!$C$3:$N$276,0,ROWS($A$4:A65)),"N/A"))</f>
        <v/>
      </c>
      <c r="G65" s="13" t="str">
        <f t="shared" si="2"/>
        <v/>
      </c>
      <c r="H65" s="42" t="str">
        <f t="shared" si="3"/>
        <v/>
      </c>
    </row>
    <row r="66" spans="1:8" x14ac:dyDescent="0.2">
      <c r="A66" s="12" t="str">
        <f>IFERROR(IF(INDEX(NORMATIVOS!$C$1:$N$1,1,ROWS($A$4:A66))="","",INDEX(NORMATIVOS!$C$1:$N$1,1,ROWS($A$4:A66))),"")</f>
        <v/>
      </c>
      <c r="B66" s="12" t="str">
        <f>IF($A66="","",COUNTA(INDEX(NORMATIVOS!$C$3:$N$276,0,ROWS($A$4:A66))))</f>
        <v/>
      </c>
      <c r="C66" s="12" t="str">
        <f>IF($A66="","",COUNTIF(INDEX(NORMATIVOS!$C$3:$N$276,0,ROWS($A$4:A66)),"Consolidado"))</f>
        <v/>
      </c>
      <c r="D66" s="12" t="str">
        <f>IF($A66="","",COUNTIF(INDEX(NORMATIVOS!$C$3:$N$276,0,ROWS($A$4:A66)),"En proceso"))</f>
        <v/>
      </c>
      <c r="E66" s="12" t="str">
        <f>IF($A66="","",COUNTIF(INDEX(NORMATIVOS!$C$3:$N$276,0,ROWS($A$4:A66)),"Proyección"))</f>
        <v/>
      </c>
      <c r="F66" s="12" t="str">
        <f>IF($A66="","",COUNTIF(INDEX(NORMATIVOS!$C$3:$N$276,0,ROWS($A$4:A66)),"N/A"))</f>
        <v/>
      </c>
      <c r="G66" s="13" t="str">
        <f t="shared" si="2"/>
        <v/>
      </c>
      <c r="H66" s="42" t="str">
        <f t="shared" si="3"/>
        <v/>
      </c>
    </row>
    <row r="67" spans="1:8" x14ac:dyDescent="0.2">
      <c r="A67" s="12" t="str">
        <f>IFERROR(IF(INDEX(NORMATIVOS!$C$1:$N$1,1,ROWS($A$4:A67))="","",INDEX(NORMATIVOS!$C$1:$N$1,1,ROWS($A$4:A67))),"")</f>
        <v/>
      </c>
      <c r="B67" s="12" t="str">
        <f>IF($A67="","",COUNTA(INDEX(NORMATIVOS!$C$3:$N$276,0,ROWS($A$4:A67))))</f>
        <v/>
      </c>
      <c r="C67" s="12" t="str">
        <f>IF($A67="","",COUNTIF(INDEX(NORMATIVOS!$C$3:$N$276,0,ROWS($A$4:A67)),"Consolidado"))</f>
        <v/>
      </c>
      <c r="D67" s="12" t="str">
        <f>IF($A67="","",COUNTIF(INDEX(NORMATIVOS!$C$3:$N$276,0,ROWS($A$4:A67)),"En proceso"))</f>
        <v/>
      </c>
      <c r="E67" s="12" t="str">
        <f>IF($A67="","",COUNTIF(INDEX(NORMATIVOS!$C$3:$N$276,0,ROWS($A$4:A67)),"Proyección"))</f>
        <v/>
      </c>
      <c r="F67" s="12" t="str">
        <f>IF($A67="","",COUNTIF(INDEX(NORMATIVOS!$C$3:$N$276,0,ROWS($A$4:A67)),"N/A"))</f>
        <v/>
      </c>
      <c r="G67" s="13" t="str">
        <f t="shared" si="2"/>
        <v/>
      </c>
      <c r="H67" s="42" t="str">
        <f t="shared" si="3"/>
        <v/>
      </c>
    </row>
    <row r="68" spans="1:8" x14ac:dyDescent="0.2">
      <c r="A68" s="12" t="str">
        <f>IFERROR(IF(INDEX(NORMATIVOS!$C$1:$N$1,1,ROWS($A$4:A68))="","",INDEX(NORMATIVOS!$C$1:$N$1,1,ROWS($A$4:A68))),"")</f>
        <v/>
      </c>
      <c r="B68" s="12" t="str">
        <f>IF($A68="","",COUNTA(INDEX(NORMATIVOS!$C$3:$N$276,0,ROWS($A$4:A68))))</f>
        <v/>
      </c>
      <c r="C68" s="12" t="str">
        <f>IF($A68="","",COUNTIF(INDEX(NORMATIVOS!$C$3:$N$276,0,ROWS($A$4:A68)),"Consolidado"))</f>
        <v/>
      </c>
      <c r="D68" s="12" t="str">
        <f>IF($A68="","",COUNTIF(INDEX(NORMATIVOS!$C$3:$N$276,0,ROWS($A$4:A68)),"En proceso"))</f>
        <v/>
      </c>
      <c r="E68" s="12" t="str">
        <f>IF($A68="","",COUNTIF(INDEX(NORMATIVOS!$C$3:$N$276,0,ROWS($A$4:A68)),"Proyección"))</f>
        <v/>
      </c>
      <c r="F68" s="12" t="str">
        <f>IF($A68="","",COUNTIF(INDEX(NORMATIVOS!$C$3:$N$276,0,ROWS($A$4:A68)),"N/A"))</f>
        <v/>
      </c>
      <c r="G68" s="13" t="str">
        <f t="shared" ref="G68:G99" si="4">IF($A68="","",IFERROR(C68/(B68-F68),0))</f>
        <v/>
      </c>
      <c r="H68" s="42" t="str">
        <f t="shared" ref="H68:H99" si="5">IF($A68="","",IF(G68&gt;=0.8,"Alto avance",IF(G68&gt;=0.5,"Avance medio",IF(G68&gt;=0.3,"Avance inicial",IF(G68&gt;=0.1,"Base solida","Base inicial")))))</f>
        <v/>
      </c>
    </row>
    <row r="69" spans="1:8" x14ac:dyDescent="0.2">
      <c r="A69" s="12" t="str">
        <f>IFERROR(IF(INDEX(NORMATIVOS!$C$1:$N$1,1,ROWS($A$4:A69))="","",INDEX(NORMATIVOS!$C$1:$N$1,1,ROWS($A$4:A69))),"")</f>
        <v/>
      </c>
      <c r="B69" s="12" t="str">
        <f>IF($A69="","",COUNTA(INDEX(NORMATIVOS!$C$3:$N$276,0,ROWS($A$4:A69))))</f>
        <v/>
      </c>
      <c r="C69" s="12" t="str">
        <f>IF($A69="","",COUNTIF(INDEX(NORMATIVOS!$C$3:$N$276,0,ROWS($A$4:A69)),"Consolidado"))</f>
        <v/>
      </c>
      <c r="D69" s="12" t="str">
        <f>IF($A69="","",COUNTIF(INDEX(NORMATIVOS!$C$3:$N$276,0,ROWS($A$4:A69)),"En proceso"))</f>
        <v/>
      </c>
      <c r="E69" s="12" t="str">
        <f>IF($A69="","",COUNTIF(INDEX(NORMATIVOS!$C$3:$N$276,0,ROWS($A$4:A69)),"Proyección"))</f>
        <v/>
      </c>
      <c r="F69" s="12" t="str">
        <f>IF($A69="","",COUNTIF(INDEX(NORMATIVOS!$C$3:$N$276,0,ROWS($A$4:A69)),"N/A"))</f>
        <v/>
      </c>
      <c r="G69" s="13" t="str">
        <f t="shared" si="4"/>
        <v/>
      </c>
      <c r="H69" s="42" t="str">
        <f t="shared" si="5"/>
        <v/>
      </c>
    </row>
    <row r="70" spans="1:8" x14ac:dyDescent="0.2">
      <c r="A70" s="12" t="str">
        <f>IFERROR(IF(INDEX(NORMATIVOS!$C$1:$N$1,1,ROWS($A$4:A70))="","",INDEX(NORMATIVOS!$C$1:$N$1,1,ROWS($A$4:A70))),"")</f>
        <v/>
      </c>
      <c r="B70" s="12" t="str">
        <f>IF($A70="","",COUNTA(INDEX(NORMATIVOS!$C$3:$N$276,0,ROWS($A$4:A70))))</f>
        <v/>
      </c>
      <c r="C70" s="12" t="str">
        <f>IF($A70="","",COUNTIF(INDEX(NORMATIVOS!$C$3:$N$276,0,ROWS($A$4:A70)),"Consolidado"))</f>
        <v/>
      </c>
      <c r="D70" s="12" t="str">
        <f>IF($A70="","",COUNTIF(INDEX(NORMATIVOS!$C$3:$N$276,0,ROWS($A$4:A70)),"En proceso"))</f>
        <v/>
      </c>
      <c r="E70" s="12" t="str">
        <f>IF($A70="","",COUNTIF(INDEX(NORMATIVOS!$C$3:$N$276,0,ROWS($A$4:A70)),"Proyección"))</f>
        <v/>
      </c>
      <c r="F70" s="12" t="str">
        <f>IF($A70="","",COUNTIF(INDEX(NORMATIVOS!$C$3:$N$276,0,ROWS($A$4:A70)),"N/A"))</f>
        <v/>
      </c>
      <c r="G70" s="13" t="str">
        <f t="shared" si="4"/>
        <v/>
      </c>
      <c r="H70" s="42" t="str">
        <f t="shared" si="5"/>
        <v/>
      </c>
    </row>
    <row r="71" spans="1:8" x14ac:dyDescent="0.2">
      <c r="A71" s="12" t="str">
        <f>IFERROR(IF(INDEX(NORMATIVOS!$C$1:$N$1,1,ROWS($A$4:A71))="","",INDEX(NORMATIVOS!$C$1:$N$1,1,ROWS($A$4:A71))),"")</f>
        <v/>
      </c>
      <c r="B71" s="12" t="str">
        <f>IF($A71="","",COUNTA(INDEX(NORMATIVOS!$C$3:$N$276,0,ROWS($A$4:A71))))</f>
        <v/>
      </c>
      <c r="C71" s="12" t="str">
        <f>IF($A71="","",COUNTIF(INDEX(NORMATIVOS!$C$3:$N$276,0,ROWS($A$4:A71)),"Consolidado"))</f>
        <v/>
      </c>
      <c r="D71" s="12" t="str">
        <f>IF($A71="","",COUNTIF(INDEX(NORMATIVOS!$C$3:$N$276,0,ROWS($A$4:A71)),"En proceso"))</f>
        <v/>
      </c>
      <c r="E71" s="12" t="str">
        <f>IF($A71="","",COUNTIF(INDEX(NORMATIVOS!$C$3:$N$276,0,ROWS($A$4:A71)),"Proyección"))</f>
        <v/>
      </c>
      <c r="F71" s="12" t="str">
        <f>IF($A71="","",COUNTIF(INDEX(NORMATIVOS!$C$3:$N$276,0,ROWS($A$4:A71)),"N/A"))</f>
        <v/>
      </c>
      <c r="G71" s="13" t="str">
        <f t="shared" si="4"/>
        <v/>
      </c>
      <c r="H71" s="42" t="str">
        <f t="shared" si="5"/>
        <v/>
      </c>
    </row>
    <row r="72" spans="1:8" x14ac:dyDescent="0.2">
      <c r="A72" s="12" t="str">
        <f>IFERROR(IF(INDEX(NORMATIVOS!$C$1:$N$1,1,ROWS($A$4:A72))="","",INDEX(NORMATIVOS!$C$1:$N$1,1,ROWS($A$4:A72))),"")</f>
        <v/>
      </c>
      <c r="B72" s="12" t="str">
        <f>IF($A72="","",COUNTA(INDEX(NORMATIVOS!$C$3:$N$276,0,ROWS($A$4:A72))))</f>
        <v/>
      </c>
      <c r="C72" s="12" t="str">
        <f>IF($A72="","",COUNTIF(INDEX(NORMATIVOS!$C$3:$N$276,0,ROWS($A$4:A72)),"Consolidado"))</f>
        <v/>
      </c>
      <c r="D72" s="12" t="str">
        <f>IF($A72="","",COUNTIF(INDEX(NORMATIVOS!$C$3:$N$276,0,ROWS($A$4:A72)),"En proceso"))</f>
        <v/>
      </c>
      <c r="E72" s="12" t="str">
        <f>IF($A72="","",COUNTIF(INDEX(NORMATIVOS!$C$3:$N$276,0,ROWS($A$4:A72)),"Proyección"))</f>
        <v/>
      </c>
      <c r="F72" s="12" t="str">
        <f>IF($A72="","",COUNTIF(INDEX(NORMATIVOS!$C$3:$N$276,0,ROWS($A$4:A72)),"N/A"))</f>
        <v/>
      </c>
      <c r="G72" s="13" t="str">
        <f t="shared" si="4"/>
        <v/>
      </c>
      <c r="H72" s="42" t="str">
        <f t="shared" si="5"/>
        <v/>
      </c>
    </row>
    <row r="73" spans="1:8" x14ac:dyDescent="0.2">
      <c r="A73" s="12" t="str">
        <f>IFERROR(IF(INDEX(NORMATIVOS!$C$1:$N$1,1,ROWS($A$4:A73))="","",INDEX(NORMATIVOS!$C$1:$N$1,1,ROWS($A$4:A73))),"")</f>
        <v/>
      </c>
      <c r="B73" s="12" t="str">
        <f>IF($A73="","",COUNTA(INDEX(NORMATIVOS!$C$3:$N$276,0,ROWS($A$4:A73))))</f>
        <v/>
      </c>
      <c r="C73" s="12" t="str">
        <f>IF($A73="","",COUNTIF(INDEX(NORMATIVOS!$C$3:$N$276,0,ROWS($A$4:A73)),"Consolidado"))</f>
        <v/>
      </c>
      <c r="D73" s="12" t="str">
        <f>IF($A73="","",COUNTIF(INDEX(NORMATIVOS!$C$3:$N$276,0,ROWS($A$4:A73)),"En proceso"))</f>
        <v/>
      </c>
      <c r="E73" s="12" t="str">
        <f>IF($A73="","",COUNTIF(INDEX(NORMATIVOS!$C$3:$N$276,0,ROWS($A$4:A73)),"Proyección"))</f>
        <v/>
      </c>
      <c r="F73" s="12" t="str">
        <f>IF($A73="","",COUNTIF(INDEX(NORMATIVOS!$C$3:$N$276,0,ROWS($A$4:A73)),"N/A"))</f>
        <v/>
      </c>
      <c r="G73" s="13" t="str">
        <f t="shared" si="4"/>
        <v/>
      </c>
      <c r="H73" s="42" t="str">
        <f t="shared" si="5"/>
        <v/>
      </c>
    </row>
    <row r="74" spans="1:8" x14ac:dyDescent="0.2">
      <c r="A74" s="12" t="str">
        <f>IFERROR(IF(INDEX(NORMATIVOS!$C$1:$N$1,1,ROWS($A$4:A74))="","",INDEX(NORMATIVOS!$C$1:$N$1,1,ROWS($A$4:A74))),"")</f>
        <v/>
      </c>
      <c r="B74" s="12" t="str">
        <f>IF($A74="","",COUNTA(INDEX(NORMATIVOS!$C$3:$N$276,0,ROWS($A$4:A74))))</f>
        <v/>
      </c>
      <c r="C74" s="12" t="str">
        <f>IF($A74="","",COUNTIF(INDEX(NORMATIVOS!$C$3:$N$276,0,ROWS($A$4:A74)),"Consolidado"))</f>
        <v/>
      </c>
      <c r="D74" s="12" t="str">
        <f>IF($A74="","",COUNTIF(INDEX(NORMATIVOS!$C$3:$N$276,0,ROWS($A$4:A74)),"En proceso"))</f>
        <v/>
      </c>
      <c r="E74" s="12" t="str">
        <f>IF($A74="","",COUNTIF(INDEX(NORMATIVOS!$C$3:$N$276,0,ROWS($A$4:A74)),"Proyección"))</f>
        <v/>
      </c>
      <c r="F74" s="12" t="str">
        <f>IF($A74="","",COUNTIF(INDEX(NORMATIVOS!$C$3:$N$276,0,ROWS($A$4:A74)),"N/A"))</f>
        <v/>
      </c>
      <c r="G74" s="13" t="str">
        <f t="shared" si="4"/>
        <v/>
      </c>
      <c r="H74" s="42" t="str">
        <f t="shared" si="5"/>
        <v/>
      </c>
    </row>
    <row r="75" spans="1:8" x14ac:dyDescent="0.2">
      <c r="A75" s="12" t="str">
        <f>IFERROR(IF(INDEX(NORMATIVOS!$C$1:$N$1,1,ROWS($A$4:A75))="","",INDEX(NORMATIVOS!$C$1:$N$1,1,ROWS($A$4:A75))),"")</f>
        <v/>
      </c>
      <c r="B75" s="12" t="str">
        <f>IF($A75="","",COUNTA(INDEX(NORMATIVOS!$C$3:$N$276,0,ROWS($A$4:A75))))</f>
        <v/>
      </c>
      <c r="C75" s="12" t="str">
        <f>IF($A75="","",COUNTIF(INDEX(NORMATIVOS!$C$3:$N$276,0,ROWS($A$4:A75)),"Consolidado"))</f>
        <v/>
      </c>
      <c r="D75" s="12" t="str">
        <f>IF($A75="","",COUNTIF(INDEX(NORMATIVOS!$C$3:$N$276,0,ROWS($A$4:A75)),"En proceso"))</f>
        <v/>
      </c>
      <c r="E75" s="12" t="str">
        <f>IF($A75="","",COUNTIF(INDEX(NORMATIVOS!$C$3:$N$276,0,ROWS($A$4:A75)),"Proyección"))</f>
        <v/>
      </c>
      <c r="F75" s="12" t="str">
        <f>IF($A75="","",COUNTIF(INDEX(NORMATIVOS!$C$3:$N$276,0,ROWS($A$4:A75)),"N/A"))</f>
        <v/>
      </c>
      <c r="G75" s="13" t="str">
        <f t="shared" si="4"/>
        <v/>
      </c>
      <c r="H75" s="42" t="str">
        <f t="shared" si="5"/>
        <v/>
      </c>
    </row>
    <row r="76" spans="1:8" x14ac:dyDescent="0.2">
      <c r="A76" s="12" t="str">
        <f>IFERROR(IF(INDEX(NORMATIVOS!$C$1:$N$1,1,ROWS($A$4:A76))="","",INDEX(NORMATIVOS!$C$1:$N$1,1,ROWS($A$4:A76))),"")</f>
        <v/>
      </c>
      <c r="B76" s="12" t="str">
        <f>IF($A76="","",COUNTA(INDEX(NORMATIVOS!$C$3:$N$276,0,ROWS($A$4:A76))))</f>
        <v/>
      </c>
      <c r="C76" s="12" t="str">
        <f>IF($A76="","",COUNTIF(INDEX(NORMATIVOS!$C$3:$N$276,0,ROWS($A$4:A76)),"Consolidado"))</f>
        <v/>
      </c>
      <c r="D76" s="12" t="str">
        <f>IF($A76="","",COUNTIF(INDEX(NORMATIVOS!$C$3:$N$276,0,ROWS($A$4:A76)),"En proceso"))</f>
        <v/>
      </c>
      <c r="E76" s="12" t="str">
        <f>IF($A76="","",COUNTIF(INDEX(NORMATIVOS!$C$3:$N$276,0,ROWS($A$4:A76)),"Proyección"))</f>
        <v/>
      </c>
      <c r="F76" s="12" t="str">
        <f>IF($A76="","",COUNTIF(INDEX(NORMATIVOS!$C$3:$N$276,0,ROWS($A$4:A76)),"N/A"))</f>
        <v/>
      </c>
      <c r="G76" s="13" t="str">
        <f t="shared" si="4"/>
        <v/>
      </c>
      <c r="H76" s="42" t="str">
        <f t="shared" si="5"/>
        <v/>
      </c>
    </row>
    <row r="77" spans="1:8" x14ac:dyDescent="0.2">
      <c r="A77" s="12" t="str">
        <f>IFERROR(IF(INDEX(NORMATIVOS!$C$1:$N$1,1,ROWS($A$4:A77))="","",INDEX(NORMATIVOS!$C$1:$N$1,1,ROWS($A$4:A77))),"")</f>
        <v/>
      </c>
      <c r="B77" s="12" t="str">
        <f>IF($A77="","",COUNTA(INDEX(NORMATIVOS!$C$3:$N$276,0,ROWS($A$4:A77))))</f>
        <v/>
      </c>
      <c r="C77" s="12" t="str">
        <f>IF($A77="","",COUNTIF(INDEX(NORMATIVOS!$C$3:$N$276,0,ROWS($A$4:A77)),"Consolidado"))</f>
        <v/>
      </c>
      <c r="D77" s="12" t="str">
        <f>IF($A77="","",COUNTIF(INDEX(NORMATIVOS!$C$3:$N$276,0,ROWS($A$4:A77)),"En proceso"))</f>
        <v/>
      </c>
      <c r="E77" s="12" t="str">
        <f>IF($A77="","",COUNTIF(INDEX(NORMATIVOS!$C$3:$N$276,0,ROWS($A$4:A77)),"Proyección"))</f>
        <v/>
      </c>
      <c r="F77" s="12" t="str">
        <f>IF($A77="","",COUNTIF(INDEX(NORMATIVOS!$C$3:$N$276,0,ROWS($A$4:A77)),"N/A"))</f>
        <v/>
      </c>
      <c r="G77" s="13" t="str">
        <f t="shared" si="4"/>
        <v/>
      </c>
      <c r="H77" s="42" t="str">
        <f t="shared" si="5"/>
        <v/>
      </c>
    </row>
    <row r="78" spans="1:8" x14ac:dyDescent="0.2">
      <c r="A78" s="12" t="str">
        <f>IFERROR(IF(INDEX(NORMATIVOS!$C$1:$N$1,1,ROWS($A$4:A78))="","",INDEX(NORMATIVOS!$C$1:$N$1,1,ROWS($A$4:A78))),"")</f>
        <v/>
      </c>
      <c r="B78" s="12" t="str">
        <f>IF($A78="","",COUNTA(INDEX(NORMATIVOS!$C$3:$N$276,0,ROWS($A$4:A78))))</f>
        <v/>
      </c>
      <c r="C78" s="12" t="str">
        <f>IF($A78="","",COUNTIF(INDEX(NORMATIVOS!$C$3:$N$276,0,ROWS($A$4:A78)),"Consolidado"))</f>
        <v/>
      </c>
      <c r="D78" s="12" t="str">
        <f>IF($A78="","",COUNTIF(INDEX(NORMATIVOS!$C$3:$N$276,0,ROWS($A$4:A78)),"En proceso"))</f>
        <v/>
      </c>
      <c r="E78" s="12" t="str">
        <f>IF($A78="","",COUNTIF(INDEX(NORMATIVOS!$C$3:$N$276,0,ROWS($A$4:A78)),"Proyección"))</f>
        <v/>
      </c>
      <c r="F78" s="12" t="str">
        <f>IF($A78="","",COUNTIF(INDEX(NORMATIVOS!$C$3:$N$276,0,ROWS($A$4:A78)),"N/A"))</f>
        <v/>
      </c>
      <c r="G78" s="13" t="str">
        <f t="shared" si="4"/>
        <v/>
      </c>
      <c r="H78" s="42" t="str">
        <f t="shared" si="5"/>
        <v/>
      </c>
    </row>
    <row r="79" spans="1:8" x14ac:dyDescent="0.2">
      <c r="A79" s="12" t="str">
        <f>IFERROR(IF(INDEX(NORMATIVOS!$C$1:$N$1,1,ROWS($A$4:A79))="","",INDEX(NORMATIVOS!$C$1:$N$1,1,ROWS($A$4:A79))),"")</f>
        <v/>
      </c>
      <c r="B79" s="12" t="str">
        <f>IF($A79="","",COUNTA(INDEX(NORMATIVOS!$C$3:$N$276,0,ROWS($A$4:A79))))</f>
        <v/>
      </c>
      <c r="C79" s="12" t="str">
        <f>IF($A79="","",COUNTIF(INDEX(NORMATIVOS!$C$3:$N$276,0,ROWS($A$4:A79)),"Consolidado"))</f>
        <v/>
      </c>
      <c r="D79" s="12" t="str">
        <f>IF($A79="","",COUNTIF(INDEX(NORMATIVOS!$C$3:$N$276,0,ROWS($A$4:A79)),"En proceso"))</f>
        <v/>
      </c>
      <c r="E79" s="12" t="str">
        <f>IF($A79="","",COUNTIF(INDEX(NORMATIVOS!$C$3:$N$276,0,ROWS($A$4:A79)),"Proyección"))</f>
        <v/>
      </c>
      <c r="F79" s="12" t="str">
        <f>IF($A79="","",COUNTIF(INDEX(NORMATIVOS!$C$3:$N$276,0,ROWS($A$4:A79)),"N/A"))</f>
        <v/>
      </c>
      <c r="G79" s="13" t="str">
        <f t="shared" si="4"/>
        <v/>
      </c>
      <c r="H79" s="42" t="str">
        <f t="shared" si="5"/>
        <v/>
      </c>
    </row>
    <row r="80" spans="1:8" x14ac:dyDescent="0.2">
      <c r="A80" s="12" t="str">
        <f>IFERROR(IF(INDEX(NORMATIVOS!$C$1:$N$1,1,ROWS($A$4:A80))="","",INDEX(NORMATIVOS!$C$1:$N$1,1,ROWS($A$4:A80))),"")</f>
        <v/>
      </c>
      <c r="B80" s="12" t="str">
        <f>IF($A80="","",COUNTA(INDEX(NORMATIVOS!$C$3:$N$276,0,ROWS($A$4:A80))))</f>
        <v/>
      </c>
      <c r="C80" s="12" t="str">
        <f>IF($A80="","",COUNTIF(INDEX(NORMATIVOS!$C$3:$N$276,0,ROWS($A$4:A80)),"Consolidado"))</f>
        <v/>
      </c>
      <c r="D80" s="12" t="str">
        <f>IF($A80="","",COUNTIF(INDEX(NORMATIVOS!$C$3:$N$276,0,ROWS($A$4:A80)),"En proceso"))</f>
        <v/>
      </c>
      <c r="E80" s="12" t="str">
        <f>IF($A80="","",COUNTIF(INDEX(NORMATIVOS!$C$3:$N$276,0,ROWS($A$4:A80)),"Proyección"))</f>
        <v/>
      </c>
      <c r="F80" s="12" t="str">
        <f>IF($A80="","",COUNTIF(INDEX(NORMATIVOS!$C$3:$N$276,0,ROWS($A$4:A80)),"N/A"))</f>
        <v/>
      </c>
      <c r="G80" s="13" t="str">
        <f t="shared" si="4"/>
        <v/>
      </c>
      <c r="H80" s="42" t="str">
        <f t="shared" si="5"/>
        <v/>
      </c>
    </row>
    <row r="81" spans="1:8" x14ac:dyDescent="0.2">
      <c r="A81" s="12" t="str">
        <f>IFERROR(IF(INDEX(NORMATIVOS!$C$1:$N$1,1,ROWS($A$4:A81))="","",INDEX(NORMATIVOS!$C$1:$N$1,1,ROWS($A$4:A81))),"")</f>
        <v/>
      </c>
      <c r="B81" s="12" t="str">
        <f>IF($A81="","",COUNTA(INDEX(NORMATIVOS!$C$3:$N$276,0,ROWS($A$4:A81))))</f>
        <v/>
      </c>
      <c r="C81" s="12" t="str">
        <f>IF($A81="","",COUNTIF(INDEX(NORMATIVOS!$C$3:$N$276,0,ROWS($A$4:A81)),"Consolidado"))</f>
        <v/>
      </c>
      <c r="D81" s="12" t="str">
        <f>IF($A81="","",COUNTIF(INDEX(NORMATIVOS!$C$3:$N$276,0,ROWS($A$4:A81)),"En proceso"))</f>
        <v/>
      </c>
      <c r="E81" s="12" t="str">
        <f>IF($A81="","",COUNTIF(INDEX(NORMATIVOS!$C$3:$N$276,0,ROWS($A$4:A81)),"Proyección"))</f>
        <v/>
      </c>
      <c r="F81" s="12" t="str">
        <f>IF($A81="","",COUNTIF(INDEX(NORMATIVOS!$C$3:$N$276,0,ROWS($A$4:A81)),"N/A"))</f>
        <v/>
      </c>
      <c r="G81" s="13" t="str">
        <f t="shared" si="4"/>
        <v/>
      </c>
      <c r="H81" s="42" t="str">
        <f t="shared" si="5"/>
        <v/>
      </c>
    </row>
    <row r="82" spans="1:8" x14ac:dyDescent="0.2">
      <c r="A82" s="12" t="str">
        <f>IFERROR(IF(INDEX(NORMATIVOS!$C$1:$N$1,1,ROWS($A$4:A82))="","",INDEX(NORMATIVOS!$C$1:$N$1,1,ROWS($A$4:A82))),"")</f>
        <v/>
      </c>
      <c r="B82" s="12" t="str">
        <f>IF($A82="","",COUNTA(INDEX(NORMATIVOS!$C$3:$N$276,0,ROWS($A$4:A82))))</f>
        <v/>
      </c>
      <c r="C82" s="12" t="str">
        <f>IF($A82="","",COUNTIF(INDEX(NORMATIVOS!$C$3:$N$276,0,ROWS($A$4:A82)),"Consolidado"))</f>
        <v/>
      </c>
      <c r="D82" s="12" t="str">
        <f>IF($A82="","",COUNTIF(INDEX(NORMATIVOS!$C$3:$N$276,0,ROWS($A$4:A82)),"En proceso"))</f>
        <v/>
      </c>
      <c r="E82" s="12" t="str">
        <f>IF($A82="","",COUNTIF(INDEX(NORMATIVOS!$C$3:$N$276,0,ROWS($A$4:A82)),"Proyección"))</f>
        <v/>
      </c>
      <c r="F82" s="12" t="str">
        <f>IF($A82="","",COUNTIF(INDEX(NORMATIVOS!$C$3:$N$276,0,ROWS($A$4:A82)),"N/A"))</f>
        <v/>
      </c>
      <c r="G82" s="13" t="str">
        <f t="shared" si="4"/>
        <v/>
      </c>
      <c r="H82" s="42" t="str">
        <f t="shared" si="5"/>
        <v/>
      </c>
    </row>
    <row r="83" spans="1:8" x14ac:dyDescent="0.2">
      <c r="A83" s="12" t="str">
        <f>IFERROR(IF(INDEX(NORMATIVOS!$C$1:$N$1,1,ROWS($A$4:A83))="","",INDEX(NORMATIVOS!$C$1:$N$1,1,ROWS($A$4:A83))),"")</f>
        <v/>
      </c>
      <c r="B83" s="12" t="str">
        <f>IF($A83="","",COUNTA(INDEX(NORMATIVOS!$C$3:$N$276,0,ROWS($A$4:A83))))</f>
        <v/>
      </c>
      <c r="C83" s="12" t="str">
        <f>IF($A83="","",COUNTIF(INDEX(NORMATIVOS!$C$3:$N$276,0,ROWS($A$4:A83)),"Consolidado"))</f>
        <v/>
      </c>
      <c r="D83" s="12" t="str">
        <f>IF($A83="","",COUNTIF(INDEX(NORMATIVOS!$C$3:$N$276,0,ROWS($A$4:A83)),"En proceso"))</f>
        <v/>
      </c>
      <c r="E83" s="12" t="str">
        <f>IF($A83="","",COUNTIF(INDEX(NORMATIVOS!$C$3:$N$276,0,ROWS($A$4:A83)),"Proyección"))</f>
        <v/>
      </c>
      <c r="F83" s="12" t="str">
        <f>IF($A83="","",COUNTIF(INDEX(NORMATIVOS!$C$3:$N$276,0,ROWS($A$4:A83)),"N/A"))</f>
        <v/>
      </c>
      <c r="G83" s="13" t="str">
        <f t="shared" si="4"/>
        <v/>
      </c>
      <c r="H83" s="42" t="str">
        <f t="shared" si="5"/>
        <v/>
      </c>
    </row>
    <row r="84" spans="1:8" x14ac:dyDescent="0.2">
      <c r="A84" s="12" t="str">
        <f>IFERROR(IF(INDEX(NORMATIVOS!$C$1:$N$1,1,ROWS($A$4:A84))="","",INDEX(NORMATIVOS!$C$1:$N$1,1,ROWS($A$4:A84))),"")</f>
        <v/>
      </c>
      <c r="B84" s="12" t="str">
        <f>IF($A84="","",COUNTA(INDEX(NORMATIVOS!$C$3:$N$276,0,ROWS($A$4:A84))))</f>
        <v/>
      </c>
      <c r="C84" s="12" t="str">
        <f>IF($A84="","",COUNTIF(INDEX(NORMATIVOS!$C$3:$N$276,0,ROWS($A$4:A84)),"Consolidado"))</f>
        <v/>
      </c>
      <c r="D84" s="12" t="str">
        <f>IF($A84="","",COUNTIF(INDEX(NORMATIVOS!$C$3:$N$276,0,ROWS($A$4:A84)),"En proceso"))</f>
        <v/>
      </c>
      <c r="E84" s="12" t="str">
        <f>IF($A84="","",COUNTIF(INDEX(NORMATIVOS!$C$3:$N$276,0,ROWS($A$4:A84)),"Proyección"))</f>
        <v/>
      </c>
      <c r="F84" s="12" t="str">
        <f>IF($A84="","",COUNTIF(INDEX(NORMATIVOS!$C$3:$N$276,0,ROWS($A$4:A84)),"N/A"))</f>
        <v/>
      </c>
      <c r="G84" s="13" t="str">
        <f t="shared" si="4"/>
        <v/>
      </c>
      <c r="H84" s="42" t="str">
        <f t="shared" si="5"/>
        <v/>
      </c>
    </row>
    <row r="85" spans="1:8" x14ac:dyDescent="0.2">
      <c r="A85" s="12" t="str">
        <f>IFERROR(IF(INDEX(NORMATIVOS!$C$1:$N$1,1,ROWS($A$4:A85))="","",INDEX(NORMATIVOS!$C$1:$N$1,1,ROWS($A$4:A85))),"")</f>
        <v/>
      </c>
      <c r="B85" s="12" t="str">
        <f>IF($A85="","",COUNTA(INDEX(NORMATIVOS!$C$3:$N$276,0,ROWS($A$4:A85))))</f>
        <v/>
      </c>
      <c r="C85" s="12" t="str">
        <f>IF($A85="","",COUNTIF(INDEX(NORMATIVOS!$C$3:$N$276,0,ROWS($A$4:A85)),"Consolidado"))</f>
        <v/>
      </c>
      <c r="D85" s="12" t="str">
        <f>IF($A85="","",COUNTIF(INDEX(NORMATIVOS!$C$3:$N$276,0,ROWS($A$4:A85)),"En proceso"))</f>
        <v/>
      </c>
      <c r="E85" s="12" t="str">
        <f>IF($A85="","",COUNTIF(INDEX(NORMATIVOS!$C$3:$N$276,0,ROWS($A$4:A85)),"Proyección"))</f>
        <v/>
      </c>
      <c r="F85" s="12" t="str">
        <f>IF($A85="","",COUNTIF(INDEX(NORMATIVOS!$C$3:$N$276,0,ROWS($A$4:A85)),"N/A"))</f>
        <v/>
      </c>
      <c r="G85" s="13" t="str">
        <f t="shared" si="4"/>
        <v/>
      </c>
      <c r="H85" s="42" t="str">
        <f t="shared" si="5"/>
        <v/>
      </c>
    </row>
    <row r="86" spans="1:8" x14ac:dyDescent="0.2">
      <c r="A86" s="12" t="str">
        <f>IFERROR(IF(INDEX(NORMATIVOS!$C$1:$N$1,1,ROWS($A$4:A86))="","",INDEX(NORMATIVOS!$C$1:$N$1,1,ROWS($A$4:A86))),"")</f>
        <v/>
      </c>
      <c r="B86" s="12" t="str">
        <f>IF($A86="","",COUNTA(INDEX(NORMATIVOS!$C$3:$N$276,0,ROWS($A$4:A86))))</f>
        <v/>
      </c>
      <c r="C86" s="12" t="str">
        <f>IF($A86="","",COUNTIF(INDEX(NORMATIVOS!$C$3:$N$276,0,ROWS($A$4:A86)),"Consolidado"))</f>
        <v/>
      </c>
      <c r="D86" s="12" t="str">
        <f>IF($A86="","",COUNTIF(INDEX(NORMATIVOS!$C$3:$N$276,0,ROWS($A$4:A86)),"En proceso"))</f>
        <v/>
      </c>
      <c r="E86" s="12" t="str">
        <f>IF($A86="","",COUNTIF(INDEX(NORMATIVOS!$C$3:$N$276,0,ROWS($A$4:A86)),"Proyección"))</f>
        <v/>
      </c>
      <c r="F86" s="12" t="str">
        <f>IF($A86="","",COUNTIF(INDEX(NORMATIVOS!$C$3:$N$276,0,ROWS($A$4:A86)),"N/A"))</f>
        <v/>
      </c>
      <c r="G86" s="13" t="str">
        <f t="shared" si="4"/>
        <v/>
      </c>
      <c r="H86" s="42" t="str">
        <f t="shared" si="5"/>
        <v/>
      </c>
    </row>
    <row r="87" spans="1:8" x14ac:dyDescent="0.2">
      <c r="A87" s="12" t="str">
        <f>IFERROR(IF(INDEX(NORMATIVOS!$C$1:$N$1,1,ROWS($A$4:A87))="","",INDEX(NORMATIVOS!$C$1:$N$1,1,ROWS($A$4:A87))),"")</f>
        <v/>
      </c>
      <c r="B87" s="12" t="str">
        <f>IF($A87="","",COUNTA(INDEX(NORMATIVOS!$C$3:$N$276,0,ROWS($A$4:A87))))</f>
        <v/>
      </c>
      <c r="C87" s="12" t="str">
        <f>IF($A87="","",COUNTIF(INDEX(NORMATIVOS!$C$3:$N$276,0,ROWS($A$4:A87)),"Consolidado"))</f>
        <v/>
      </c>
      <c r="D87" s="12" t="str">
        <f>IF($A87="","",COUNTIF(INDEX(NORMATIVOS!$C$3:$N$276,0,ROWS($A$4:A87)),"En proceso"))</f>
        <v/>
      </c>
      <c r="E87" s="12" t="str">
        <f>IF($A87="","",COUNTIF(INDEX(NORMATIVOS!$C$3:$N$276,0,ROWS($A$4:A87)),"Proyección"))</f>
        <v/>
      </c>
      <c r="F87" s="12" t="str">
        <f>IF($A87="","",COUNTIF(INDEX(NORMATIVOS!$C$3:$N$276,0,ROWS($A$4:A87)),"N/A"))</f>
        <v/>
      </c>
      <c r="G87" s="13" t="str">
        <f t="shared" si="4"/>
        <v/>
      </c>
      <c r="H87" s="42" t="str">
        <f t="shared" si="5"/>
        <v/>
      </c>
    </row>
    <row r="88" spans="1:8" x14ac:dyDescent="0.2">
      <c r="A88" s="12" t="str">
        <f>IFERROR(IF(INDEX(NORMATIVOS!$C$1:$N$1,1,ROWS($A$4:A88))="","",INDEX(NORMATIVOS!$C$1:$N$1,1,ROWS($A$4:A88))),"")</f>
        <v/>
      </c>
      <c r="B88" s="12" t="str">
        <f>IF($A88="","",COUNTA(INDEX(NORMATIVOS!$C$3:$N$276,0,ROWS($A$4:A88))))</f>
        <v/>
      </c>
      <c r="C88" s="12" t="str">
        <f>IF($A88="","",COUNTIF(INDEX(NORMATIVOS!$C$3:$N$276,0,ROWS($A$4:A88)),"Consolidado"))</f>
        <v/>
      </c>
      <c r="D88" s="12" t="str">
        <f>IF($A88="","",COUNTIF(INDEX(NORMATIVOS!$C$3:$N$276,0,ROWS($A$4:A88)),"En proceso"))</f>
        <v/>
      </c>
      <c r="E88" s="12" t="str">
        <f>IF($A88="","",COUNTIF(INDEX(NORMATIVOS!$C$3:$N$276,0,ROWS($A$4:A88)),"Proyección"))</f>
        <v/>
      </c>
      <c r="F88" s="12" t="str">
        <f>IF($A88="","",COUNTIF(INDEX(NORMATIVOS!$C$3:$N$276,0,ROWS($A$4:A88)),"N/A"))</f>
        <v/>
      </c>
      <c r="G88" s="13" t="str">
        <f t="shared" si="4"/>
        <v/>
      </c>
      <c r="H88" s="42" t="str">
        <f t="shared" si="5"/>
        <v/>
      </c>
    </row>
    <row r="89" spans="1:8" x14ac:dyDescent="0.2">
      <c r="A89" s="12" t="str">
        <f>IFERROR(IF(INDEX(NORMATIVOS!$C$1:$N$1,1,ROWS($A$4:A89))="","",INDEX(NORMATIVOS!$C$1:$N$1,1,ROWS($A$4:A89))),"")</f>
        <v/>
      </c>
      <c r="B89" s="12" t="str">
        <f>IF($A89="","",COUNTA(INDEX(NORMATIVOS!$C$3:$N$276,0,ROWS($A$4:A89))))</f>
        <v/>
      </c>
      <c r="C89" s="12" t="str">
        <f>IF($A89="","",COUNTIF(INDEX(NORMATIVOS!$C$3:$N$276,0,ROWS($A$4:A89)),"Consolidado"))</f>
        <v/>
      </c>
      <c r="D89" s="12" t="str">
        <f>IF($A89="","",COUNTIF(INDEX(NORMATIVOS!$C$3:$N$276,0,ROWS($A$4:A89)),"En proceso"))</f>
        <v/>
      </c>
      <c r="E89" s="12" t="str">
        <f>IF($A89="","",COUNTIF(INDEX(NORMATIVOS!$C$3:$N$276,0,ROWS($A$4:A89)),"Proyección"))</f>
        <v/>
      </c>
      <c r="F89" s="12" t="str">
        <f>IF($A89="","",COUNTIF(INDEX(NORMATIVOS!$C$3:$N$276,0,ROWS($A$4:A89)),"N/A"))</f>
        <v/>
      </c>
      <c r="G89" s="13" t="str">
        <f t="shared" si="4"/>
        <v/>
      </c>
      <c r="H89" s="42" t="str">
        <f t="shared" si="5"/>
        <v/>
      </c>
    </row>
    <row r="90" spans="1:8" x14ac:dyDescent="0.2">
      <c r="A90" s="12" t="str">
        <f>IFERROR(IF(INDEX(NORMATIVOS!$C$1:$N$1,1,ROWS($A$4:A90))="","",INDEX(NORMATIVOS!$C$1:$N$1,1,ROWS($A$4:A90))),"")</f>
        <v/>
      </c>
      <c r="B90" s="12" t="str">
        <f>IF($A90="","",COUNTA(INDEX(NORMATIVOS!$C$3:$N$276,0,ROWS($A$4:A90))))</f>
        <v/>
      </c>
      <c r="C90" s="12" t="str">
        <f>IF($A90="","",COUNTIF(INDEX(NORMATIVOS!$C$3:$N$276,0,ROWS($A$4:A90)),"Consolidado"))</f>
        <v/>
      </c>
      <c r="D90" s="12" t="str">
        <f>IF($A90="","",COUNTIF(INDEX(NORMATIVOS!$C$3:$N$276,0,ROWS($A$4:A90)),"En proceso"))</f>
        <v/>
      </c>
      <c r="E90" s="12" t="str">
        <f>IF($A90="","",COUNTIF(INDEX(NORMATIVOS!$C$3:$N$276,0,ROWS($A$4:A90)),"Proyección"))</f>
        <v/>
      </c>
      <c r="F90" s="12" t="str">
        <f>IF($A90="","",COUNTIF(INDEX(NORMATIVOS!$C$3:$N$276,0,ROWS($A$4:A90)),"N/A"))</f>
        <v/>
      </c>
      <c r="G90" s="13" t="str">
        <f t="shared" si="4"/>
        <v/>
      </c>
      <c r="H90" s="42" t="str">
        <f t="shared" si="5"/>
        <v/>
      </c>
    </row>
    <row r="91" spans="1:8" x14ac:dyDescent="0.2">
      <c r="A91" s="12" t="str">
        <f>IFERROR(IF(INDEX(NORMATIVOS!$C$1:$N$1,1,ROWS($A$4:A91))="","",INDEX(NORMATIVOS!$C$1:$N$1,1,ROWS($A$4:A91))),"")</f>
        <v/>
      </c>
      <c r="B91" s="12" t="str">
        <f>IF($A91="","",COUNTA(INDEX(NORMATIVOS!$C$3:$N$276,0,ROWS($A$4:A91))))</f>
        <v/>
      </c>
      <c r="C91" s="12" t="str">
        <f>IF($A91="","",COUNTIF(INDEX(NORMATIVOS!$C$3:$N$276,0,ROWS($A$4:A91)),"Consolidado"))</f>
        <v/>
      </c>
      <c r="D91" s="12" t="str">
        <f>IF($A91="","",COUNTIF(INDEX(NORMATIVOS!$C$3:$N$276,0,ROWS($A$4:A91)),"En proceso"))</f>
        <v/>
      </c>
      <c r="E91" s="12" t="str">
        <f>IF($A91="","",COUNTIF(INDEX(NORMATIVOS!$C$3:$N$276,0,ROWS($A$4:A91)),"Proyección"))</f>
        <v/>
      </c>
      <c r="F91" s="12" t="str">
        <f>IF($A91="","",COUNTIF(INDEX(NORMATIVOS!$C$3:$N$276,0,ROWS($A$4:A91)),"N/A"))</f>
        <v/>
      </c>
      <c r="G91" s="13" t="str">
        <f t="shared" si="4"/>
        <v/>
      </c>
      <c r="H91" s="42" t="str">
        <f t="shared" si="5"/>
        <v/>
      </c>
    </row>
    <row r="92" spans="1:8" x14ac:dyDescent="0.2">
      <c r="A92" s="12" t="str">
        <f>IFERROR(IF(INDEX(NORMATIVOS!$C$1:$N$1,1,ROWS($A$4:A92))="","",INDEX(NORMATIVOS!$C$1:$N$1,1,ROWS($A$4:A92))),"")</f>
        <v/>
      </c>
      <c r="B92" s="12" t="str">
        <f>IF($A92="","",COUNTA(INDEX(NORMATIVOS!$C$3:$N$276,0,ROWS($A$4:A92))))</f>
        <v/>
      </c>
      <c r="C92" s="12" t="str">
        <f>IF($A92="","",COUNTIF(INDEX(NORMATIVOS!$C$3:$N$276,0,ROWS($A$4:A92)),"Consolidado"))</f>
        <v/>
      </c>
      <c r="D92" s="12" t="str">
        <f>IF($A92="","",COUNTIF(INDEX(NORMATIVOS!$C$3:$N$276,0,ROWS($A$4:A92)),"En proceso"))</f>
        <v/>
      </c>
      <c r="E92" s="12" t="str">
        <f>IF($A92="","",COUNTIF(INDEX(NORMATIVOS!$C$3:$N$276,0,ROWS($A$4:A92)),"Proyección"))</f>
        <v/>
      </c>
      <c r="F92" s="12" t="str">
        <f>IF($A92="","",COUNTIF(INDEX(NORMATIVOS!$C$3:$N$276,0,ROWS($A$4:A92)),"N/A"))</f>
        <v/>
      </c>
      <c r="G92" s="13" t="str">
        <f t="shared" si="4"/>
        <v/>
      </c>
      <c r="H92" s="42" t="str">
        <f t="shared" si="5"/>
        <v/>
      </c>
    </row>
    <row r="93" spans="1:8" x14ac:dyDescent="0.2">
      <c r="A93" s="12" t="str">
        <f>IFERROR(IF(INDEX(NORMATIVOS!$C$1:$N$1,1,ROWS($A$4:A93))="","",INDEX(NORMATIVOS!$C$1:$N$1,1,ROWS($A$4:A93))),"")</f>
        <v/>
      </c>
      <c r="B93" s="12" t="str">
        <f>IF($A93="","",COUNTA(INDEX(NORMATIVOS!$C$3:$N$276,0,ROWS($A$4:A93))))</f>
        <v/>
      </c>
      <c r="C93" s="12" t="str">
        <f>IF($A93="","",COUNTIF(INDEX(NORMATIVOS!$C$3:$N$276,0,ROWS($A$4:A93)),"Consolidado"))</f>
        <v/>
      </c>
      <c r="D93" s="12" t="str">
        <f>IF($A93="","",COUNTIF(INDEX(NORMATIVOS!$C$3:$N$276,0,ROWS($A$4:A93)),"En proceso"))</f>
        <v/>
      </c>
      <c r="E93" s="12" t="str">
        <f>IF($A93="","",COUNTIF(INDEX(NORMATIVOS!$C$3:$N$276,0,ROWS($A$4:A93)),"Proyección"))</f>
        <v/>
      </c>
      <c r="F93" s="12" t="str">
        <f>IF($A93="","",COUNTIF(INDEX(NORMATIVOS!$C$3:$N$276,0,ROWS($A$4:A93)),"N/A"))</f>
        <v/>
      </c>
      <c r="G93" s="13" t="str">
        <f t="shared" si="4"/>
        <v/>
      </c>
      <c r="H93" s="42" t="str">
        <f t="shared" si="5"/>
        <v/>
      </c>
    </row>
    <row r="94" spans="1:8" x14ac:dyDescent="0.2">
      <c r="A94" s="12" t="str">
        <f>IFERROR(IF(INDEX(NORMATIVOS!$C$1:$N$1,1,ROWS($A$4:A94))="","",INDEX(NORMATIVOS!$C$1:$N$1,1,ROWS($A$4:A94))),"")</f>
        <v/>
      </c>
      <c r="B94" s="12" t="str">
        <f>IF($A94="","",COUNTA(INDEX(NORMATIVOS!$C$3:$N$276,0,ROWS($A$4:A94))))</f>
        <v/>
      </c>
      <c r="C94" s="12" t="str">
        <f>IF($A94="","",COUNTIF(INDEX(NORMATIVOS!$C$3:$N$276,0,ROWS($A$4:A94)),"Consolidado"))</f>
        <v/>
      </c>
      <c r="D94" s="12" t="str">
        <f>IF($A94="","",COUNTIF(INDEX(NORMATIVOS!$C$3:$N$276,0,ROWS($A$4:A94)),"En proceso"))</f>
        <v/>
      </c>
      <c r="E94" s="12" t="str">
        <f>IF($A94="","",COUNTIF(INDEX(NORMATIVOS!$C$3:$N$276,0,ROWS($A$4:A94)),"Proyección"))</f>
        <v/>
      </c>
      <c r="F94" s="12" t="str">
        <f>IF($A94="","",COUNTIF(INDEX(NORMATIVOS!$C$3:$N$276,0,ROWS($A$4:A94)),"N/A"))</f>
        <v/>
      </c>
      <c r="G94" s="13" t="str">
        <f t="shared" si="4"/>
        <v/>
      </c>
      <c r="H94" s="42" t="str">
        <f t="shared" si="5"/>
        <v/>
      </c>
    </row>
    <row r="95" spans="1:8" x14ac:dyDescent="0.2">
      <c r="A95" s="12" t="str">
        <f>IFERROR(IF(INDEX(NORMATIVOS!$C$1:$N$1,1,ROWS($A$4:A95))="","",INDEX(NORMATIVOS!$C$1:$N$1,1,ROWS($A$4:A95))),"")</f>
        <v/>
      </c>
      <c r="B95" s="12" t="str">
        <f>IF($A95="","",COUNTA(INDEX(NORMATIVOS!$C$3:$N$276,0,ROWS($A$4:A95))))</f>
        <v/>
      </c>
      <c r="C95" s="12" t="str">
        <f>IF($A95="","",COUNTIF(INDEX(NORMATIVOS!$C$3:$N$276,0,ROWS($A$4:A95)),"Consolidado"))</f>
        <v/>
      </c>
      <c r="D95" s="12" t="str">
        <f>IF($A95="","",COUNTIF(INDEX(NORMATIVOS!$C$3:$N$276,0,ROWS($A$4:A95)),"En proceso"))</f>
        <v/>
      </c>
      <c r="E95" s="12" t="str">
        <f>IF($A95="","",COUNTIF(INDEX(NORMATIVOS!$C$3:$N$276,0,ROWS($A$4:A95)),"Proyección"))</f>
        <v/>
      </c>
      <c r="F95" s="12" t="str">
        <f>IF($A95="","",COUNTIF(INDEX(NORMATIVOS!$C$3:$N$276,0,ROWS($A$4:A95)),"N/A"))</f>
        <v/>
      </c>
      <c r="G95" s="13" t="str">
        <f t="shared" si="4"/>
        <v/>
      </c>
      <c r="H95" s="42" t="str">
        <f t="shared" si="5"/>
        <v/>
      </c>
    </row>
    <row r="96" spans="1:8" x14ac:dyDescent="0.2">
      <c r="A96" s="12" t="str">
        <f>IFERROR(IF(INDEX(NORMATIVOS!$C$1:$N$1,1,ROWS($A$4:A96))="","",INDEX(NORMATIVOS!$C$1:$N$1,1,ROWS($A$4:A96))),"")</f>
        <v/>
      </c>
      <c r="B96" s="12" t="str">
        <f>IF($A96="","",COUNTA(INDEX(NORMATIVOS!$C$3:$N$276,0,ROWS($A$4:A96))))</f>
        <v/>
      </c>
      <c r="C96" s="12" t="str">
        <f>IF($A96="","",COUNTIF(INDEX(NORMATIVOS!$C$3:$N$276,0,ROWS($A$4:A96)),"Consolidado"))</f>
        <v/>
      </c>
      <c r="D96" s="12" t="str">
        <f>IF($A96="","",COUNTIF(INDEX(NORMATIVOS!$C$3:$N$276,0,ROWS($A$4:A96)),"En proceso"))</f>
        <v/>
      </c>
      <c r="E96" s="12" t="str">
        <f>IF($A96="","",COUNTIF(INDEX(NORMATIVOS!$C$3:$N$276,0,ROWS($A$4:A96)),"Proyección"))</f>
        <v/>
      </c>
      <c r="F96" s="12" t="str">
        <f>IF($A96="","",COUNTIF(INDEX(NORMATIVOS!$C$3:$N$276,0,ROWS($A$4:A96)),"N/A"))</f>
        <v/>
      </c>
      <c r="G96" s="13" t="str">
        <f t="shared" si="4"/>
        <v/>
      </c>
      <c r="H96" s="42" t="str">
        <f t="shared" si="5"/>
        <v/>
      </c>
    </row>
    <row r="97" spans="1:8" x14ac:dyDescent="0.2">
      <c r="A97" s="12" t="str">
        <f>IFERROR(IF(INDEX(NORMATIVOS!$C$1:$N$1,1,ROWS($A$4:A97))="","",INDEX(NORMATIVOS!$C$1:$N$1,1,ROWS($A$4:A97))),"")</f>
        <v/>
      </c>
      <c r="B97" s="12" t="str">
        <f>IF($A97="","",COUNTA(INDEX(NORMATIVOS!$C$3:$N$276,0,ROWS($A$4:A97))))</f>
        <v/>
      </c>
      <c r="C97" s="12" t="str">
        <f>IF($A97="","",COUNTIF(INDEX(NORMATIVOS!$C$3:$N$276,0,ROWS($A$4:A97)),"Consolidado"))</f>
        <v/>
      </c>
      <c r="D97" s="12" t="str">
        <f>IF($A97="","",COUNTIF(INDEX(NORMATIVOS!$C$3:$N$276,0,ROWS($A$4:A97)),"En proceso"))</f>
        <v/>
      </c>
      <c r="E97" s="12" t="str">
        <f>IF($A97="","",COUNTIF(INDEX(NORMATIVOS!$C$3:$N$276,0,ROWS($A$4:A97)),"Proyección"))</f>
        <v/>
      </c>
      <c r="F97" s="12" t="str">
        <f>IF($A97="","",COUNTIF(INDEX(NORMATIVOS!$C$3:$N$276,0,ROWS($A$4:A97)),"N/A"))</f>
        <v/>
      </c>
      <c r="G97" s="13" t="str">
        <f t="shared" si="4"/>
        <v/>
      </c>
      <c r="H97" s="42" t="str">
        <f t="shared" si="5"/>
        <v/>
      </c>
    </row>
    <row r="98" spans="1:8" x14ac:dyDescent="0.2">
      <c r="A98" s="12" t="str">
        <f>IFERROR(IF(INDEX(NORMATIVOS!$C$1:$N$1,1,ROWS($A$4:A98))="","",INDEX(NORMATIVOS!$C$1:$N$1,1,ROWS($A$4:A98))),"")</f>
        <v/>
      </c>
      <c r="B98" s="12" t="str">
        <f>IF($A98="","",COUNTA(INDEX(NORMATIVOS!$C$3:$N$276,0,ROWS($A$4:A98))))</f>
        <v/>
      </c>
      <c r="C98" s="12" t="str">
        <f>IF($A98="","",COUNTIF(INDEX(NORMATIVOS!$C$3:$N$276,0,ROWS($A$4:A98)),"Consolidado"))</f>
        <v/>
      </c>
      <c r="D98" s="12" t="str">
        <f>IF($A98="","",COUNTIF(INDEX(NORMATIVOS!$C$3:$N$276,0,ROWS($A$4:A98)),"En proceso"))</f>
        <v/>
      </c>
      <c r="E98" s="12" t="str">
        <f>IF($A98="","",COUNTIF(INDEX(NORMATIVOS!$C$3:$N$276,0,ROWS($A$4:A98)),"Proyección"))</f>
        <v/>
      </c>
      <c r="F98" s="12" t="str">
        <f>IF($A98="","",COUNTIF(INDEX(NORMATIVOS!$C$3:$N$276,0,ROWS($A$4:A98)),"N/A"))</f>
        <v/>
      </c>
      <c r="G98" s="13" t="str">
        <f t="shared" si="4"/>
        <v/>
      </c>
      <c r="H98" s="42" t="str">
        <f t="shared" si="5"/>
        <v/>
      </c>
    </row>
    <row r="99" spans="1:8" x14ac:dyDescent="0.2">
      <c r="A99" s="12" t="str">
        <f>IFERROR(IF(INDEX(NORMATIVOS!$C$1:$N$1,1,ROWS($A$4:A99))="","",INDEX(NORMATIVOS!$C$1:$N$1,1,ROWS($A$4:A99))),"")</f>
        <v/>
      </c>
      <c r="B99" s="12" t="str">
        <f>IF($A99="","",COUNTA(INDEX(NORMATIVOS!$C$3:$N$276,0,ROWS($A$4:A99))))</f>
        <v/>
      </c>
      <c r="C99" s="12" t="str">
        <f>IF($A99="","",COUNTIF(INDEX(NORMATIVOS!$C$3:$N$276,0,ROWS($A$4:A99)),"Consolidado"))</f>
        <v/>
      </c>
      <c r="D99" s="12" t="str">
        <f>IF($A99="","",COUNTIF(INDEX(NORMATIVOS!$C$3:$N$276,0,ROWS($A$4:A99)),"En proceso"))</f>
        <v/>
      </c>
      <c r="E99" s="12" t="str">
        <f>IF($A99="","",COUNTIF(INDEX(NORMATIVOS!$C$3:$N$276,0,ROWS($A$4:A99)),"Proyección"))</f>
        <v/>
      </c>
      <c r="F99" s="12" t="str">
        <f>IF($A99="","",COUNTIF(INDEX(NORMATIVOS!$C$3:$N$276,0,ROWS($A$4:A99)),"N/A"))</f>
        <v/>
      </c>
      <c r="G99" s="13" t="str">
        <f t="shared" si="4"/>
        <v/>
      </c>
      <c r="H99" s="42" t="str">
        <f t="shared" si="5"/>
        <v/>
      </c>
    </row>
    <row r="100" spans="1:8" x14ac:dyDescent="0.2">
      <c r="A100" s="12" t="str">
        <f>IFERROR(IF(INDEX(NORMATIVOS!$C$1:$N$1,1,ROWS($A$4:A100))="","",INDEX(NORMATIVOS!$C$1:$N$1,1,ROWS($A$4:A100))),"")</f>
        <v/>
      </c>
      <c r="B100" s="12" t="str">
        <f>IF($A100="","",COUNTA(INDEX(NORMATIVOS!$C$3:$N$276,0,ROWS($A$4:A100))))</f>
        <v/>
      </c>
      <c r="C100" s="12" t="str">
        <f>IF($A100="","",COUNTIF(INDEX(NORMATIVOS!$C$3:$N$276,0,ROWS($A$4:A100)),"Consolidado"))</f>
        <v/>
      </c>
      <c r="D100" s="12" t="str">
        <f>IF($A100="","",COUNTIF(INDEX(NORMATIVOS!$C$3:$N$276,0,ROWS($A$4:A100)),"En proceso"))</f>
        <v/>
      </c>
      <c r="E100" s="12" t="str">
        <f>IF($A100="","",COUNTIF(INDEX(NORMATIVOS!$C$3:$N$276,0,ROWS($A$4:A100)),"Proyección"))</f>
        <v/>
      </c>
      <c r="F100" s="12" t="str">
        <f>IF($A100="","",COUNTIF(INDEX(NORMATIVOS!$C$3:$N$276,0,ROWS($A$4:A100)),"N/A"))</f>
        <v/>
      </c>
      <c r="G100" s="13" t="str">
        <f t="shared" ref="G100:G131" si="6">IF($A100="","",IFERROR(C100/(B100-F100),0))</f>
        <v/>
      </c>
      <c r="H100" s="42" t="str">
        <f t="shared" ref="H100:H131" si="7">IF($A100="","",IF(G100&gt;=0.8,"Alto avance",IF(G100&gt;=0.5,"Avance medio",IF(G100&gt;=0.3,"Avance inicial",IF(G100&gt;=0.1,"Base solida","Base inicial")))))</f>
        <v/>
      </c>
    </row>
    <row r="101" spans="1:8" x14ac:dyDescent="0.2">
      <c r="A101" s="12" t="str">
        <f>IFERROR(IF(INDEX(NORMATIVOS!$C$1:$N$1,1,ROWS($A$4:A101))="","",INDEX(NORMATIVOS!$C$1:$N$1,1,ROWS($A$4:A101))),"")</f>
        <v/>
      </c>
      <c r="B101" s="12" t="str">
        <f>IF($A101="","",COUNTA(INDEX(NORMATIVOS!$C$3:$N$276,0,ROWS($A$4:A101))))</f>
        <v/>
      </c>
      <c r="C101" s="12" t="str">
        <f>IF($A101="","",COUNTIF(INDEX(NORMATIVOS!$C$3:$N$276,0,ROWS($A$4:A101)),"Consolidado"))</f>
        <v/>
      </c>
      <c r="D101" s="12" t="str">
        <f>IF($A101="","",COUNTIF(INDEX(NORMATIVOS!$C$3:$N$276,0,ROWS($A$4:A101)),"En proceso"))</f>
        <v/>
      </c>
      <c r="E101" s="12" t="str">
        <f>IF($A101="","",COUNTIF(INDEX(NORMATIVOS!$C$3:$N$276,0,ROWS($A$4:A101)),"Proyección"))</f>
        <v/>
      </c>
      <c r="F101" s="12" t="str">
        <f>IF($A101="","",COUNTIF(INDEX(NORMATIVOS!$C$3:$N$276,0,ROWS($A$4:A101)),"N/A"))</f>
        <v/>
      </c>
      <c r="G101" s="13" t="str">
        <f t="shared" si="6"/>
        <v/>
      </c>
      <c r="H101" s="42" t="str">
        <f t="shared" si="7"/>
        <v/>
      </c>
    </row>
    <row r="102" spans="1:8" x14ac:dyDescent="0.2">
      <c r="A102" s="12" t="str">
        <f>IFERROR(IF(INDEX(NORMATIVOS!$C$1:$N$1,1,ROWS($A$4:A102))="","",INDEX(NORMATIVOS!$C$1:$N$1,1,ROWS($A$4:A102))),"")</f>
        <v/>
      </c>
      <c r="B102" s="12" t="str">
        <f>IF($A102="","",COUNTA(INDEX(NORMATIVOS!$C$3:$N$276,0,ROWS($A$4:A102))))</f>
        <v/>
      </c>
      <c r="C102" s="12" t="str">
        <f>IF($A102="","",COUNTIF(INDEX(NORMATIVOS!$C$3:$N$276,0,ROWS($A$4:A102)),"Consolidado"))</f>
        <v/>
      </c>
      <c r="D102" s="12" t="str">
        <f>IF($A102="","",COUNTIF(INDEX(NORMATIVOS!$C$3:$N$276,0,ROWS($A$4:A102)),"En proceso"))</f>
        <v/>
      </c>
      <c r="E102" s="12" t="str">
        <f>IF($A102="","",COUNTIF(INDEX(NORMATIVOS!$C$3:$N$276,0,ROWS($A$4:A102)),"Proyección"))</f>
        <v/>
      </c>
      <c r="F102" s="12" t="str">
        <f>IF($A102="","",COUNTIF(INDEX(NORMATIVOS!$C$3:$N$276,0,ROWS($A$4:A102)),"N/A"))</f>
        <v/>
      </c>
      <c r="G102" s="13" t="str">
        <f t="shared" si="6"/>
        <v/>
      </c>
      <c r="H102" s="42" t="str">
        <f t="shared" si="7"/>
        <v/>
      </c>
    </row>
    <row r="103" spans="1:8" x14ac:dyDescent="0.2">
      <c r="A103" s="12" t="str">
        <f>IFERROR(IF(INDEX(NORMATIVOS!$C$1:$N$1,1,ROWS($A$4:A103))="","",INDEX(NORMATIVOS!$C$1:$N$1,1,ROWS($A$4:A103))),"")</f>
        <v/>
      </c>
      <c r="B103" s="12" t="str">
        <f>IF($A103="","",COUNTA(INDEX(NORMATIVOS!$C$3:$N$276,0,ROWS($A$4:A103))))</f>
        <v/>
      </c>
      <c r="C103" s="12" t="str">
        <f>IF($A103="","",COUNTIF(INDEX(NORMATIVOS!$C$3:$N$276,0,ROWS($A$4:A103)),"Consolidado"))</f>
        <v/>
      </c>
      <c r="D103" s="12" t="str">
        <f>IF($A103="","",COUNTIF(INDEX(NORMATIVOS!$C$3:$N$276,0,ROWS($A$4:A103)),"En proceso"))</f>
        <v/>
      </c>
      <c r="E103" s="12" t="str">
        <f>IF($A103="","",COUNTIF(INDEX(NORMATIVOS!$C$3:$N$276,0,ROWS($A$4:A103)),"Proyección"))</f>
        <v/>
      </c>
      <c r="F103" s="12" t="str">
        <f>IF($A103="","",COUNTIF(INDEX(NORMATIVOS!$C$3:$N$276,0,ROWS($A$4:A103)),"N/A"))</f>
        <v/>
      </c>
      <c r="G103" s="13" t="str">
        <f t="shared" si="6"/>
        <v/>
      </c>
      <c r="H103" s="42" t="str">
        <f t="shared" si="7"/>
        <v/>
      </c>
    </row>
  </sheetData>
  <mergeCells count="1">
    <mergeCell ref="A1:H1"/>
  </mergeCells>
  <conditionalFormatting sqref="H1:H1048576">
    <cfRule type="containsText" dxfId="4" priority="1" operator="containsText" text="Alto avance">
      <formula>NOT(ISERROR(SEARCH("Alto avance",H1)))</formula>
    </cfRule>
    <cfRule type="containsText" dxfId="3" priority="2" operator="containsText" text="Avance medio">
      <formula>NOT(ISERROR(SEARCH("Avance medio",H1)))</formula>
    </cfRule>
    <cfRule type="containsText" dxfId="2" priority="3" operator="containsText" text="Avance inicial">
      <formula>NOT(ISERROR(SEARCH("Avance inicial",H1)))</formula>
    </cfRule>
    <cfRule type="containsText" dxfId="1" priority="4" operator="containsText" text="Base solida">
      <formula>NOT(ISERROR(SEARCH("Base solida",H1)))</formula>
    </cfRule>
    <cfRule type="containsText" dxfId="0" priority="5" operator="containsText" text="Base inicial">
      <formula>NOT(ISERROR(SEARCH("Base inicial",H1)))</formula>
    </cfRule>
  </conditionalFormatting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7"/>
  <sheetViews>
    <sheetView showGridLines="0" zoomScale="90" workbookViewId="0">
      <selection activeCell="G37" sqref="G37"/>
    </sheetView>
  </sheetViews>
  <sheetFormatPr baseColWidth="10" defaultColWidth="8.83203125" defaultRowHeight="15" x14ac:dyDescent="0.2"/>
  <cols>
    <col min="1" max="1" width="20" customWidth="1"/>
    <col min="3" max="3" width="28" customWidth="1"/>
    <col min="5" max="5" width="65" customWidth="1"/>
    <col min="7" max="7" width="22.83203125" bestFit="1" customWidth="1"/>
    <col min="8" max="8" width="12.1640625" bestFit="1" customWidth="1"/>
    <col min="9" max="9" width="19.1640625" bestFit="1" customWidth="1"/>
  </cols>
  <sheetData>
    <row r="1" spans="1:9" x14ac:dyDescent="0.2">
      <c r="A1" s="10" t="s">
        <v>334</v>
      </c>
      <c r="C1" s="10" t="s">
        <v>335</v>
      </c>
      <c r="E1" s="10" t="s">
        <v>336</v>
      </c>
      <c r="G1" s="39" t="s">
        <v>337</v>
      </c>
    </row>
    <row r="2" spans="1:9" x14ac:dyDescent="0.2">
      <c r="A2" t="s">
        <v>15</v>
      </c>
      <c r="C2" t="s">
        <v>10</v>
      </c>
      <c r="E2" t="s">
        <v>338</v>
      </c>
      <c r="G2" s="39" t="s">
        <v>30</v>
      </c>
      <c r="H2" s="39" t="s">
        <v>339</v>
      </c>
      <c r="I2" s="39" t="s">
        <v>340</v>
      </c>
    </row>
    <row r="3" spans="1:9" x14ac:dyDescent="0.2">
      <c r="A3" t="s">
        <v>7</v>
      </c>
      <c r="C3" t="s">
        <v>12</v>
      </c>
      <c r="E3" t="s">
        <v>341</v>
      </c>
      <c r="G3" t="s">
        <v>5</v>
      </c>
      <c r="H3" t="s">
        <v>342</v>
      </c>
      <c r="I3" t="s">
        <v>343</v>
      </c>
    </row>
    <row r="4" spans="1:9" x14ac:dyDescent="0.2">
      <c r="A4" t="s">
        <v>6</v>
      </c>
      <c r="C4" t="s">
        <v>13</v>
      </c>
      <c r="E4" t="s">
        <v>344</v>
      </c>
      <c r="G4" t="s">
        <v>6</v>
      </c>
      <c r="H4" t="s">
        <v>345</v>
      </c>
      <c r="I4" t="s">
        <v>346</v>
      </c>
    </row>
    <row r="5" spans="1:9" x14ac:dyDescent="0.2">
      <c r="A5" t="s">
        <v>5</v>
      </c>
      <c r="C5" t="s">
        <v>14</v>
      </c>
      <c r="E5" t="s">
        <v>347</v>
      </c>
      <c r="G5" t="s">
        <v>7</v>
      </c>
      <c r="H5" t="s">
        <v>348</v>
      </c>
      <c r="I5" t="s">
        <v>349</v>
      </c>
    </row>
    <row r="6" spans="1:9" x14ac:dyDescent="0.2">
      <c r="C6" t="s">
        <v>16</v>
      </c>
      <c r="G6" t="s">
        <v>15</v>
      </c>
      <c r="H6" t="s">
        <v>350</v>
      </c>
      <c r="I6" t="s">
        <v>351</v>
      </c>
    </row>
    <row r="7" spans="1:9" x14ac:dyDescent="0.2">
      <c r="C7" t="s">
        <v>17</v>
      </c>
    </row>
    <row r="8" spans="1:9" x14ac:dyDescent="0.2">
      <c r="C8" t="s">
        <v>18</v>
      </c>
    </row>
    <row r="9" spans="1:9" x14ac:dyDescent="0.2">
      <c r="C9" t="s">
        <v>19</v>
      </c>
    </row>
    <row r="10" spans="1:9" x14ac:dyDescent="0.2">
      <c r="C10" t="s">
        <v>20</v>
      </c>
    </row>
    <row r="11" spans="1:9" x14ac:dyDescent="0.2">
      <c r="C11" t="s">
        <v>21</v>
      </c>
    </row>
    <row r="12" spans="1:9" x14ac:dyDescent="0.2">
      <c r="C12" t="s">
        <v>22</v>
      </c>
    </row>
    <row r="13" spans="1:9" x14ac:dyDescent="0.2">
      <c r="C13" t="s">
        <v>23</v>
      </c>
    </row>
    <row r="14" spans="1:9" x14ac:dyDescent="0.2">
      <c r="C14" t="s">
        <v>24</v>
      </c>
    </row>
    <row r="15" spans="1:9" x14ac:dyDescent="0.2">
      <c r="C15" t="s">
        <v>25</v>
      </c>
    </row>
    <row r="16" spans="1:9" x14ac:dyDescent="0.2">
      <c r="C16" t="s">
        <v>26</v>
      </c>
    </row>
    <row r="17" spans="3:3" x14ac:dyDescent="0.2">
      <c r="C17" t="s">
        <v>27</v>
      </c>
    </row>
  </sheetData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NORMATIVOS</vt:lpstr>
      <vt:lpstr>FICHA DEL ATLETA</vt:lpstr>
      <vt:lpstr>INDICADORES</vt:lpstr>
      <vt:lpstr>CONSOLIDADO</vt:lpstr>
      <vt:lpstr>CATALOGOS</vt:lpstr>
      <vt:lpstr>ListaAtletas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Jaime Morales Gimnasia Varonil Kids Center</dc:creator>
  <cp:lastModifiedBy>José Manuel Jaime Morales Gimnasia Varonil Kids Center</cp:lastModifiedBy>
  <dcterms:created xsi:type="dcterms:W3CDTF">2026-09-17T07:15:24Z</dcterms:created>
  <dcterms:modified xsi:type="dcterms:W3CDTF">2026-09-28T06:40:32Z</dcterms:modified>
</cp:coreProperties>
</file>