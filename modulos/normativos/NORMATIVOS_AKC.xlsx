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6a939d4276db6/Escritorio/PLANEACION AKC 2027/"/>
    </mc:Choice>
  </mc:AlternateContent>
  <xr:revisionPtr revIDLastSave="0" documentId="8_{39C02F0C-42A6-455E-992D-419AA285F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TIVOS" sheetId="1" r:id="rId1"/>
    <sheet name="FICHA DEL ATLETA" sheetId="4" r:id="rId2"/>
    <sheet name="INDICADORES" sheetId="5" r:id="rId3"/>
    <sheet name="CONSOLIDADO" sheetId="3" r:id="rId4"/>
    <sheet name="CATALOGOS" sheetId="2" r:id="rId5"/>
  </sheets>
  <calcPr calcId="191029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G5" i="3" s="1"/>
  <c r="H5" i="3" s="1"/>
  <c r="B5" i="3"/>
  <c r="F5" i="3"/>
  <c r="C6" i="3"/>
  <c r="G6" i="3" s="1"/>
  <c r="H6" i="3" s="1"/>
  <c r="B6" i="3"/>
  <c r="F6" i="3"/>
  <c r="C7" i="3"/>
  <c r="B7" i="3"/>
  <c r="F7" i="3"/>
  <c r="C8" i="3"/>
  <c r="B8" i="3"/>
  <c r="F8" i="3"/>
  <c r="C9" i="3"/>
  <c r="B9" i="3"/>
  <c r="F9" i="3"/>
  <c r="C10" i="3"/>
  <c r="G10" i="3" s="1"/>
  <c r="H10" i="3" s="1"/>
  <c r="B10" i="3"/>
  <c r="F10" i="3"/>
  <c r="C11" i="3"/>
  <c r="B11" i="3"/>
  <c r="F11" i="3"/>
  <c r="C12" i="3"/>
  <c r="B12" i="3"/>
  <c r="F12" i="3"/>
  <c r="C13" i="3"/>
  <c r="B13" i="3"/>
  <c r="F13" i="3"/>
  <c r="C14" i="3"/>
  <c r="B14" i="3"/>
  <c r="F14" i="3"/>
  <c r="C15" i="3"/>
  <c r="B15" i="3"/>
  <c r="F15" i="3"/>
  <c r="C16" i="3"/>
  <c r="B16" i="3"/>
  <c r="F16" i="3"/>
  <c r="C17" i="3"/>
  <c r="B17" i="3"/>
  <c r="F17" i="3"/>
  <c r="C18" i="3"/>
  <c r="B18" i="3"/>
  <c r="F18" i="3"/>
  <c r="C19" i="3"/>
  <c r="B19" i="3"/>
  <c r="F19" i="3"/>
  <c r="C20" i="3"/>
  <c r="B20" i="3"/>
  <c r="F20" i="3"/>
  <c r="C21" i="3"/>
  <c r="B21" i="3"/>
  <c r="F21" i="3"/>
  <c r="C22" i="3"/>
  <c r="B22" i="3"/>
  <c r="F22" i="3"/>
  <c r="C23" i="3"/>
  <c r="B23" i="3"/>
  <c r="F23" i="3"/>
  <c r="C24" i="3"/>
  <c r="B24" i="3"/>
  <c r="F24" i="3"/>
  <c r="C25" i="3"/>
  <c r="B25" i="3"/>
  <c r="F25" i="3"/>
  <c r="C26" i="3"/>
  <c r="B26" i="3"/>
  <c r="F26" i="3"/>
  <c r="C27" i="3"/>
  <c r="B27" i="3"/>
  <c r="F27" i="3"/>
  <c r="C28" i="3"/>
  <c r="B28" i="3"/>
  <c r="F28" i="3"/>
  <c r="C29" i="3"/>
  <c r="B29" i="3"/>
  <c r="F29" i="3"/>
  <c r="C30" i="3"/>
  <c r="B30" i="3"/>
  <c r="F30" i="3"/>
  <c r="C31" i="3"/>
  <c r="B31" i="3"/>
  <c r="F31" i="3"/>
  <c r="C32" i="3"/>
  <c r="B32" i="3"/>
  <c r="F32" i="3"/>
  <c r="C33" i="3"/>
  <c r="B33" i="3"/>
  <c r="F33" i="3"/>
  <c r="C4" i="3"/>
  <c r="B5" i="5" s="1"/>
  <c r="B4" i="3"/>
  <c r="F4" i="3"/>
  <c r="C279" i="4"/>
  <c r="C224" i="4"/>
  <c r="C124" i="4"/>
  <c r="E21" i="4"/>
  <c r="F21" i="4"/>
  <c r="G21" i="4"/>
  <c r="E20" i="4"/>
  <c r="F20" i="4"/>
  <c r="G20" i="4"/>
  <c r="E19" i="4"/>
  <c r="F19" i="4"/>
  <c r="G19" i="4"/>
  <c r="E18" i="4"/>
  <c r="F18" i="4"/>
  <c r="H18" i="4" s="1"/>
  <c r="B24" i="5" s="1"/>
  <c r="G18" i="4"/>
  <c r="E17" i="4"/>
  <c r="F17" i="4"/>
  <c r="G17" i="4"/>
  <c r="E16" i="4"/>
  <c r="F16" i="4"/>
  <c r="G16" i="4"/>
  <c r="E15" i="4"/>
  <c r="F15" i="4"/>
  <c r="G15" i="4"/>
  <c r="E14" i="4"/>
  <c r="F14" i="4"/>
  <c r="H14" i="4" s="1"/>
  <c r="B20" i="5" s="1"/>
  <c r="G14" i="4"/>
  <c r="E13" i="4"/>
  <c r="F13" i="4"/>
  <c r="G13" i="4"/>
  <c r="E12" i="4"/>
  <c r="F12" i="4"/>
  <c r="G12" i="4"/>
  <c r="E11" i="4"/>
  <c r="F11" i="4"/>
  <c r="G11" i="4"/>
  <c r="E10" i="4"/>
  <c r="F10" i="4"/>
  <c r="H10" i="4" s="1"/>
  <c r="B16" i="5" s="1"/>
  <c r="G10" i="4"/>
  <c r="E9" i="4"/>
  <c r="F9" i="4"/>
  <c r="G9" i="4"/>
  <c r="E8" i="4"/>
  <c r="F8" i="4"/>
  <c r="G8" i="4"/>
  <c r="E7" i="4"/>
  <c r="F7" i="4"/>
  <c r="G7" i="4"/>
  <c r="E6" i="4"/>
  <c r="F6" i="4"/>
  <c r="H6" i="4" s="1"/>
  <c r="B12" i="5" s="1"/>
  <c r="G6" i="4"/>
  <c r="D4" i="3"/>
  <c r="B8" i="4" s="1"/>
  <c r="D5" i="3"/>
  <c r="D6" i="3"/>
  <c r="D7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E4" i="3"/>
  <c r="E5" i="3"/>
  <c r="E6" i="3"/>
  <c r="E7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B6" i="4"/>
  <c r="B3" i="5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H20" i="4"/>
  <c r="B26" i="5" s="1"/>
  <c r="H16" i="4"/>
  <c r="B22" i="5" s="1"/>
  <c r="H12" i="4"/>
  <c r="B18" i="5" s="1"/>
  <c r="H8" i="4"/>
  <c r="B14" i="5" s="1"/>
  <c r="B9" i="4"/>
  <c r="G31" i="3" l="1"/>
  <c r="H31" i="3" s="1"/>
  <c r="G27" i="3"/>
  <c r="H27" i="3" s="1"/>
  <c r="G23" i="3"/>
  <c r="H23" i="3" s="1"/>
  <c r="G15" i="3"/>
  <c r="H15" i="3" s="1"/>
  <c r="B7" i="4"/>
  <c r="E4" i="5"/>
  <c r="E7" i="5"/>
  <c r="B10" i="4"/>
  <c r="E5" i="5"/>
  <c r="B6" i="5"/>
  <c r="E6" i="5"/>
  <c r="G29" i="3"/>
  <c r="H29" i="3" s="1"/>
  <c r="G11" i="3"/>
  <c r="H11" i="3" s="1"/>
  <c r="G7" i="3"/>
  <c r="H7" i="3" s="1"/>
  <c r="G19" i="3"/>
  <c r="H19" i="3" s="1"/>
  <c r="G17" i="3"/>
  <c r="H17" i="3" s="1"/>
  <c r="G12" i="3"/>
  <c r="H12" i="3" s="1"/>
  <c r="G26" i="3"/>
  <c r="H26" i="3" s="1"/>
  <c r="G22" i="3"/>
  <c r="H22" i="3" s="1"/>
  <c r="G20" i="3"/>
  <c r="H20" i="3" s="1"/>
  <c r="G4" i="3"/>
  <c r="G32" i="3"/>
  <c r="H32" i="3" s="1"/>
  <c r="G25" i="3"/>
  <c r="H25" i="3" s="1"/>
  <c r="G18" i="3"/>
  <c r="H18" i="3" s="1"/>
  <c r="G16" i="3"/>
  <c r="H16" i="3" s="1"/>
  <c r="G13" i="3"/>
  <c r="H13" i="3" s="1"/>
  <c r="G30" i="3"/>
  <c r="H30" i="3" s="1"/>
  <c r="G28" i="3"/>
  <c r="H28" i="3" s="1"/>
  <c r="G21" i="3"/>
  <c r="H21" i="3" s="1"/>
  <c r="G14" i="3"/>
  <c r="H14" i="3" s="1"/>
  <c r="G9" i="3"/>
  <c r="H9" i="3" s="1"/>
  <c r="H7" i="4"/>
  <c r="B13" i="5" s="1"/>
  <c r="H9" i="4"/>
  <c r="B15" i="5" s="1"/>
  <c r="H11" i="4"/>
  <c r="B17" i="5" s="1"/>
  <c r="H13" i="4"/>
  <c r="B19" i="5" s="1"/>
  <c r="H15" i="4"/>
  <c r="B21" i="5" s="1"/>
  <c r="H17" i="4"/>
  <c r="B23" i="5" s="1"/>
  <c r="H19" i="4"/>
  <c r="B25" i="5" s="1"/>
  <c r="H21" i="4"/>
  <c r="B27" i="5" s="1"/>
  <c r="G33" i="3"/>
  <c r="H33" i="3" s="1"/>
  <c r="G24" i="3"/>
  <c r="H24" i="3" s="1"/>
  <c r="G8" i="3"/>
  <c r="H8" i="3" s="1"/>
  <c r="B11" i="4"/>
  <c r="H4" i="3"/>
  <c r="B4" i="5" l="1"/>
</calcChain>
</file>

<file path=xl/sharedStrings.xml><?xml version="1.0" encoding="utf-8"?>
<sst xmlns="http://schemas.openxmlformats.org/spreadsheetml/2006/main" count="9118" uniqueCount="368">
  <si>
    <t>Diego Jaime</t>
  </si>
  <si>
    <t>Ricardo Jimenez</t>
  </si>
  <si>
    <t>Alonso Ahedo</t>
  </si>
  <si>
    <t>Mikel Larrinua</t>
  </si>
  <si>
    <t>Diego Rodriguez</t>
  </si>
  <si>
    <t>Isaac Martinez</t>
  </si>
  <si>
    <t>Diego Vela</t>
  </si>
  <si>
    <t>Yerik Guerra</t>
  </si>
  <si>
    <t>Fernando Talavera</t>
  </si>
  <si>
    <t>Diego Chavez</t>
  </si>
  <si>
    <t>Mario Bisteni</t>
  </si>
  <si>
    <t>Maximiliano Diaz</t>
  </si>
  <si>
    <t>Santiago Sigler</t>
  </si>
  <si>
    <t>Nicolas Capitanacci</t>
  </si>
  <si>
    <t>Bruno Jacobo</t>
  </si>
  <si>
    <t>Santi Camacho</t>
  </si>
  <si>
    <t>Leo Camacho</t>
  </si>
  <si>
    <t>Nico Flores</t>
  </si>
  <si>
    <t>Carlos Aznar</t>
  </si>
  <si>
    <t>Emi Gonzalez</t>
  </si>
  <si>
    <t>David Rangel</t>
  </si>
  <si>
    <t>Diego Cuevas</t>
  </si>
  <si>
    <t>Jose Ma Robles</t>
  </si>
  <si>
    <t>Mauro Regand</t>
  </si>
  <si>
    <t>Bruno Baez</t>
  </si>
  <si>
    <t>Brittan Akim</t>
  </si>
  <si>
    <t>Alfredo Jacobo</t>
  </si>
  <si>
    <t>Erik Lopez</t>
  </si>
  <si>
    <t>Leo Lazaro</t>
  </si>
  <si>
    <t>Isaac Rangel</t>
  </si>
  <si>
    <t>PISO</t>
  </si>
  <si>
    <t>POSICIONES BÁSICAS Y FUERZA</t>
  </si>
  <si>
    <t>Postura de pie firme</t>
  </si>
  <si>
    <t>Consolidado</t>
  </si>
  <si>
    <t>Proyección</t>
  </si>
  <si>
    <t>Parado de hombros</t>
  </si>
  <si>
    <t>Parado de antebrazos</t>
  </si>
  <si>
    <t>Parado de cabeza</t>
  </si>
  <si>
    <t>Parado de manos en apoyo</t>
  </si>
  <si>
    <t>Parado de Manos</t>
  </si>
  <si>
    <t>Split</t>
  </si>
  <si>
    <t>Squat</t>
  </si>
  <si>
    <t>Equilibrio a un pie (arabesca)</t>
  </si>
  <si>
    <t>L sit</t>
  </si>
  <si>
    <t>Sustentación en Arco</t>
  </si>
  <si>
    <t>Soporte en escuadra endo</t>
  </si>
  <si>
    <t>Kato de fuerza</t>
  </si>
  <si>
    <t>Rodada Kato</t>
  </si>
  <si>
    <t xml:space="preserve">ACROBATICO HACÍA DELANTE </t>
  </si>
  <si>
    <t xml:space="preserve">Rodada adelanté </t>
  </si>
  <si>
    <t>Vuelta de carro</t>
  </si>
  <si>
    <t>Redondilla</t>
  </si>
  <si>
    <t>Resorte a 2 pies</t>
  </si>
  <si>
    <t>Resorte a 1 pie</t>
  </si>
  <si>
    <t>Mortal adelante en C</t>
  </si>
  <si>
    <t xml:space="preserve">Resorte 1 a 2 </t>
  </si>
  <si>
    <t>Mortal adelante en V</t>
  </si>
  <si>
    <t>Mortal extendido</t>
  </si>
  <si>
    <t>Mortal rebote mortal</t>
  </si>
  <si>
    <t xml:space="preserve">Doble mortal en C adelanté </t>
  </si>
  <si>
    <t xml:space="preserve">ACROBATICO HACÍA ATRÁS </t>
  </si>
  <si>
    <t>Rodada atras</t>
  </si>
  <si>
    <t>Rodada atrás a parado de manos</t>
  </si>
  <si>
    <t>Flic flac</t>
  </si>
  <si>
    <t>Doble flic</t>
  </si>
  <si>
    <t>Mortal atras en C desde Redondilla</t>
  </si>
  <si>
    <t>Mortal atras en C desde Flic flac</t>
  </si>
  <si>
    <t>Mortal en V atras</t>
  </si>
  <si>
    <t>Mortal extendido atras</t>
  </si>
  <si>
    <t>Power flic (Tempo)</t>
  </si>
  <si>
    <t>Doble mortal atrás en C</t>
  </si>
  <si>
    <t xml:space="preserve">ACROBATICO CON GIRO </t>
  </si>
  <si>
    <t>Mortal extendido atras con 1/2 giro</t>
  </si>
  <si>
    <t>Mortal extendido atras con un giro</t>
  </si>
  <si>
    <t>Mortal agrupado adelanté con 1/2 giro</t>
  </si>
  <si>
    <t>Mortal agrupado adelanté con 1 giro</t>
  </si>
  <si>
    <t>Varani</t>
  </si>
  <si>
    <t>Mortal extendido adelanté con 1 giro</t>
  </si>
  <si>
    <t>Mortal extendido atras con 1 1/2 giro</t>
  </si>
  <si>
    <t>Mortal extendido atrás con 2 giros</t>
  </si>
  <si>
    <t>Mortal extendido adelante con 1 1/2 giro</t>
  </si>
  <si>
    <t>ARZON</t>
  </si>
  <si>
    <t>HONGO</t>
  </si>
  <si>
    <t>Posturas básicas de apoyo e impulso</t>
  </si>
  <si>
    <t>1/4 de circulo</t>
  </si>
  <si>
    <t>1/2 de circulo</t>
  </si>
  <si>
    <t>3/4 de circulo</t>
  </si>
  <si>
    <t>1 circulo</t>
  </si>
  <si>
    <t>2 circulos</t>
  </si>
  <si>
    <t>3 circulos</t>
  </si>
  <si>
    <t>4 circulos</t>
  </si>
  <si>
    <t>5 circulos</t>
  </si>
  <si>
    <t>Salida finlandesa</t>
  </si>
  <si>
    <t>Splindle</t>
  </si>
  <si>
    <t>Thomas Flair</t>
  </si>
  <si>
    <t>Cheka</t>
  </si>
  <si>
    <t xml:space="preserve">Stöckli </t>
  </si>
  <si>
    <t>Splindle con thomas</t>
  </si>
  <si>
    <t>Rusa</t>
  </si>
  <si>
    <t>CABALLO SIN ARZON</t>
  </si>
  <si>
    <t>1/2 Circulo</t>
  </si>
  <si>
    <t>Circulo</t>
  </si>
  <si>
    <t>1/4 de Kehr</t>
  </si>
  <si>
    <t>1/2 Splindle</t>
  </si>
  <si>
    <t>1/2 Magyar</t>
  </si>
  <si>
    <t>1/2 Sivado</t>
  </si>
  <si>
    <t>Doble rusa</t>
  </si>
  <si>
    <t>Magyar</t>
  </si>
  <si>
    <t>Sivado</t>
  </si>
  <si>
    <t>CABALLO CON ARZONES</t>
  </si>
  <si>
    <t>Balanceo pendular</t>
  </si>
  <si>
    <t>Tijera falsa</t>
  </si>
  <si>
    <t>Tijera</t>
  </si>
  <si>
    <t>Circulo sobre arzones</t>
  </si>
  <si>
    <t xml:space="preserve">Tijera circulo </t>
  </si>
  <si>
    <t>Bajada lateral</t>
  </si>
  <si>
    <t xml:space="preserve">Circulo en grupa </t>
  </si>
  <si>
    <t>Circulo lateral en grupa</t>
  </si>
  <si>
    <t>Circulo frontal en grupa</t>
  </si>
  <si>
    <t>1/4 de Kehr en grupa</t>
  </si>
  <si>
    <t>1/2 Splindle en grupa</t>
  </si>
  <si>
    <t>Cheka sobre arzones</t>
  </si>
  <si>
    <t>Stöckli sobre arzones</t>
  </si>
  <si>
    <t>Rusa en grupa</t>
  </si>
  <si>
    <t>Doble rusa en grupa</t>
  </si>
  <si>
    <t>Circulo sobre un arzon</t>
  </si>
  <si>
    <t xml:space="preserve">Magyar </t>
  </si>
  <si>
    <t>Roth</t>
  </si>
  <si>
    <t>Salida Kolyvanov</t>
  </si>
  <si>
    <t>Tongfei</t>
  </si>
  <si>
    <t>Splindle en grupa (Magyar)</t>
  </si>
  <si>
    <t>Wugonian</t>
  </si>
  <si>
    <t>Sohn</t>
  </si>
  <si>
    <t>Bezugo</t>
  </si>
  <si>
    <t>ANILLOS</t>
  </si>
  <si>
    <t>ELEMENTOS DE FUERZA</t>
  </si>
  <si>
    <t>L sit en suspension</t>
  </si>
  <si>
    <t>Dominada</t>
  </si>
  <si>
    <t>Vela</t>
  </si>
  <si>
    <t xml:space="preserve">Plancha dorsal </t>
  </si>
  <si>
    <t>Hercules</t>
  </si>
  <si>
    <t>L sit en apoyo</t>
  </si>
  <si>
    <t>Plancha agrupada</t>
  </si>
  <si>
    <t>L sit a Parado de manos (Kato)</t>
  </si>
  <si>
    <t xml:space="preserve">Semidisloque desde suspension estática </t>
  </si>
  <si>
    <t>Escuadra abierta</t>
  </si>
  <si>
    <t>Plancha abierta (Pajaro)</t>
  </si>
  <si>
    <t>Cristo</t>
  </si>
  <si>
    <t>Plancha cerrada</t>
  </si>
  <si>
    <t>Hirondell (Maltesse)</t>
  </si>
  <si>
    <t>ELEMENTOS DE VUELO</t>
  </si>
  <si>
    <t>Balanceos a 45°</t>
  </si>
  <si>
    <t xml:space="preserve">Balanceos a la horizontal </t>
  </si>
  <si>
    <t>Balanceos por encima de la horizontal</t>
  </si>
  <si>
    <t>Inglesa a L sit</t>
  </si>
  <si>
    <t>Inlocada</t>
  </si>
  <si>
    <t>Semidisloque desde sandwich</t>
  </si>
  <si>
    <t>Dislocada</t>
  </si>
  <si>
    <t xml:space="preserve">Salida de mortal extendido atrás </t>
  </si>
  <si>
    <t>Azteca</t>
  </si>
  <si>
    <t>Kip L sit</t>
  </si>
  <si>
    <t>Subida de pecho</t>
  </si>
  <si>
    <t xml:space="preserve">Salida de mortal agrupado hacia adelante </t>
  </si>
  <si>
    <t xml:space="preserve">Salida de doble mortal agrupado hacía atrás </t>
  </si>
  <si>
    <t>Molino</t>
  </si>
  <si>
    <t>Gigante</t>
  </si>
  <si>
    <t>Deltchev</t>
  </si>
  <si>
    <t>Honma</t>
  </si>
  <si>
    <t>Salida de multiple mortal</t>
  </si>
  <si>
    <t>Yamawaki</t>
  </si>
  <si>
    <t>Jonasson</t>
  </si>
  <si>
    <t>SALTO DE CABALLO</t>
  </si>
  <si>
    <t>ACCIONES SIN TABLA DE SALTO</t>
  </si>
  <si>
    <t>Carrera</t>
  </si>
  <si>
    <t xml:space="preserve">Entrada a botador </t>
  </si>
  <si>
    <t xml:space="preserve">Salto Vertical </t>
  </si>
  <si>
    <t>Salto del tigre</t>
  </si>
  <si>
    <t>Salto mortal agrupado</t>
  </si>
  <si>
    <t>Resorte a caer en placha con altura</t>
  </si>
  <si>
    <t>Resorte a altura</t>
  </si>
  <si>
    <t>SALTOS</t>
  </si>
  <si>
    <t>Resorte de brazos</t>
  </si>
  <si>
    <t>Yamashita</t>
  </si>
  <si>
    <t>Tsukahara agrupada</t>
  </si>
  <si>
    <t>Resorte mortal agrupado</t>
  </si>
  <si>
    <t>Tsukahara carpada</t>
  </si>
  <si>
    <t>Tsukahara extendida</t>
  </si>
  <si>
    <t>Tsukahara con medio giro</t>
  </si>
  <si>
    <t xml:space="preserve">Entrada de kasa a mortal agrup adelanté </t>
  </si>
  <si>
    <t>Kasamatsu</t>
  </si>
  <si>
    <t>Kasamatsu extendido</t>
  </si>
  <si>
    <t>Resorte mortal carpado</t>
  </si>
  <si>
    <t>Cuervo</t>
  </si>
  <si>
    <t>Tsukahara con giro y medio</t>
  </si>
  <si>
    <t>Akopian</t>
  </si>
  <si>
    <t>Yourchenko</t>
  </si>
  <si>
    <t>Yourchenko extendido</t>
  </si>
  <si>
    <t>Yourchenko con 1/2 giro</t>
  </si>
  <si>
    <t>Yourchenko con 1 giro</t>
  </si>
  <si>
    <t>Driggs</t>
  </si>
  <si>
    <t>Resorte mortal extendido con giro</t>
  </si>
  <si>
    <t>Roche</t>
  </si>
  <si>
    <t>BARRAS PARALELAS</t>
  </si>
  <si>
    <t xml:space="preserve">ELEMENTOS EN SUSPENSION </t>
  </si>
  <si>
    <t>Vuelos a 45°</t>
  </si>
  <si>
    <t xml:space="preserve">Vuelos a la horizontal </t>
  </si>
  <si>
    <t xml:space="preserve">Vuelos por encima de la paralela </t>
  </si>
  <si>
    <t>Vuelo a soporte braquial</t>
  </si>
  <si>
    <t>Alemana a L sit (kip)</t>
  </si>
  <si>
    <t>Moy braquial</t>
  </si>
  <si>
    <t>Moy al apoyo</t>
  </si>
  <si>
    <t>Salida de mortal extendido por punta</t>
  </si>
  <si>
    <t>Balleston aleman</t>
  </si>
  <si>
    <t>Felgue a suspension</t>
  </si>
  <si>
    <t>Felgue a Lsit</t>
  </si>
  <si>
    <t>Salida de doble mortal agrupado por punta</t>
  </si>
  <si>
    <t>Tipelt</t>
  </si>
  <si>
    <t>Felgue a manos</t>
  </si>
  <si>
    <t>Bhavsar</t>
  </si>
  <si>
    <t>Gigante diamidov</t>
  </si>
  <si>
    <t>ELEMENTOS EN APOYO</t>
  </si>
  <si>
    <t>Soporte extendido</t>
  </si>
  <si>
    <t xml:space="preserve">Plancha agrupada </t>
  </si>
  <si>
    <t>Parada de manos</t>
  </si>
  <si>
    <t>Vuelos a parado de manos</t>
  </si>
  <si>
    <t>L sit a parado de manos (Kato)</t>
  </si>
  <si>
    <t>Salida frontal a medio giro</t>
  </si>
  <si>
    <t>Parado de manos a descenso braquial</t>
  </si>
  <si>
    <t>Cambio sencillo</t>
  </si>
  <si>
    <t>Cambio interno</t>
  </si>
  <si>
    <t xml:space="preserve">Salida de mortal agrupado hacia adelanté </t>
  </si>
  <si>
    <t xml:space="preserve">Salida de mortal agrupado hacia atrás </t>
  </si>
  <si>
    <t>Parado de manos sobre una barra</t>
  </si>
  <si>
    <t>Cambio completo sobre una barra</t>
  </si>
  <si>
    <t>Stutkhere</t>
  </si>
  <si>
    <t>Diamidov</t>
  </si>
  <si>
    <t xml:space="preserve">Salida de dobles mortales adelanté o atrás </t>
  </si>
  <si>
    <t>Healy</t>
  </si>
  <si>
    <t>Peters</t>
  </si>
  <si>
    <t>Makuts</t>
  </si>
  <si>
    <t>Diamidov con medio</t>
  </si>
  <si>
    <t>Gatson</t>
  </si>
  <si>
    <t>ELEMENTOS EN APOYO BRAQUIAL</t>
  </si>
  <si>
    <t>Subida de pecho desde la parada de manos</t>
  </si>
  <si>
    <t>Balleston aleman braquial a inglesa</t>
  </si>
  <si>
    <t>Corte frontal a endo a manos</t>
  </si>
  <si>
    <t>Corte posterior a L sit</t>
  </si>
  <si>
    <t xml:space="preserve">Impulso a manos desde braquial </t>
  </si>
  <si>
    <t>Honma braquial</t>
  </si>
  <si>
    <t>Honma (Yamawaki)</t>
  </si>
  <si>
    <t>Braquial a Diamidov</t>
  </si>
  <si>
    <t xml:space="preserve">Braquial a Stutkhere </t>
  </si>
  <si>
    <t>BARRA FIJA</t>
  </si>
  <si>
    <t>ELEMENTOS DE VUELO Y SOLTADAS</t>
  </si>
  <si>
    <t>Soporte de colgado</t>
  </si>
  <si>
    <t>Cambios de tomas en suspension</t>
  </si>
  <si>
    <t>Balanceos por encima de la barra</t>
  </si>
  <si>
    <t>Fly agrupado desde balanceo</t>
  </si>
  <si>
    <t>3/4  de gigante</t>
  </si>
  <si>
    <t>3/4 de molino</t>
  </si>
  <si>
    <t>Salida Fly extendido desde balanceo</t>
  </si>
  <si>
    <t xml:space="preserve">Gigante </t>
  </si>
  <si>
    <t>Salida Fly extendido desde gigante</t>
  </si>
  <si>
    <t>Cambio directo</t>
  </si>
  <si>
    <t>Salida de doble mortal atrás en C</t>
  </si>
  <si>
    <t>Gigante saltado</t>
  </si>
  <si>
    <t>Voronin</t>
  </si>
  <si>
    <t>Tkachev</t>
  </si>
  <si>
    <t>Gienger</t>
  </si>
  <si>
    <t>Quast</t>
  </si>
  <si>
    <t>Tkachev en V (Samiloglu)</t>
  </si>
  <si>
    <t>Zou li min</t>
  </si>
  <si>
    <t>Jager</t>
  </si>
  <si>
    <t>Kovacs</t>
  </si>
  <si>
    <t>Tkachev extendido</t>
  </si>
  <si>
    <t>Kolman</t>
  </si>
  <si>
    <t>Cassina</t>
  </si>
  <si>
    <t>Gaylord</t>
  </si>
  <si>
    <t>ACERCAMIENTO A LA BARRA</t>
  </si>
  <si>
    <t xml:space="preserve">Subida de estómago </t>
  </si>
  <si>
    <t>Descolgada</t>
  </si>
  <si>
    <t xml:space="preserve">Vuelta atrás </t>
  </si>
  <si>
    <t>Alemana a impulso</t>
  </si>
  <si>
    <t>Impulso a parada de manos</t>
  </si>
  <si>
    <t xml:space="preserve">Alemana a la horizontal </t>
  </si>
  <si>
    <t>Salvada a manos</t>
  </si>
  <si>
    <t>Alemana a parada de manos</t>
  </si>
  <si>
    <t xml:space="preserve">Salvada desdé gigante </t>
  </si>
  <si>
    <t>Endo</t>
  </si>
  <si>
    <t>Stalder</t>
  </si>
  <si>
    <t>Endo cerrado</t>
  </si>
  <si>
    <t>Adler</t>
  </si>
  <si>
    <t>Adler con medio</t>
  </si>
  <si>
    <t>Stalder cerrado</t>
  </si>
  <si>
    <t>Piatti</t>
  </si>
  <si>
    <t>Adler con giro</t>
  </si>
  <si>
    <t>ESTADOS DE EVALUACIÓN</t>
  </si>
  <si>
    <t>APARATOS</t>
  </si>
  <si>
    <t>CRITERIO</t>
  </si>
  <si>
    <t>N/A</t>
  </si>
  <si>
    <t>N/A = No adquirido: no lo hizo, no le sale, le faltó aprenderlo</t>
  </si>
  <si>
    <t>ACROBATICO HACÍA DELANTE</t>
  </si>
  <si>
    <t>Proyección = habilidad prevista para desarrollar</t>
  </si>
  <si>
    <t>En proceso</t>
  </si>
  <si>
    <t>ACROBATICO HACÍA ATRÁS</t>
  </si>
  <si>
    <t>En proceso = habilidad trabajada pero no consolidada</t>
  </si>
  <si>
    <t>ACROBATICO CON GIRO</t>
  </si>
  <si>
    <t>Consolidado = habilidad dominada según el criterio del entrenador</t>
  </si>
  <si>
    <t>ELEMENTOS EN SUSPENSION</t>
  </si>
  <si>
    <t>CONSOLIDADO GENERAL DE NORMATIVOS AKC</t>
  </si>
  <si>
    <t>Atleta</t>
  </si>
  <si>
    <t>Elementos evaluados</t>
  </si>
  <si>
    <t>Consolidados</t>
  </si>
  <si>
    <t>% dominio</t>
  </si>
  <si>
    <t>Seguimiento</t>
  </si>
  <si>
    <t>FICHA INDIVIDUAL DE EVALUACIÓN</t>
  </si>
  <si>
    <t>Atleta:</t>
  </si>
  <si>
    <t>RESUMEN</t>
  </si>
  <si>
    <t>Aparato</t>
  </si>
  <si>
    <t>DETALLE DE ELEMENTOS</t>
  </si>
  <si>
    <t>Elemento</t>
  </si>
  <si>
    <t>Estado</t>
  </si>
  <si>
    <t>Rodada adelanté</t>
  </si>
  <si>
    <t>Resorte 1 a 2</t>
  </si>
  <si>
    <t>Doble mortal en C adelanté</t>
  </si>
  <si>
    <t>Stöckli</t>
  </si>
  <si>
    <t>Tijera circulo</t>
  </si>
  <si>
    <t>Circulo en grupa</t>
  </si>
  <si>
    <t>Plancha dorsal</t>
  </si>
  <si>
    <t>Semidisloque desde suspension estática</t>
  </si>
  <si>
    <t>Balanceos a la horizontal</t>
  </si>
  <si>
    <t>Salida de mortal extendido atrás</t>
  </si>
  <si>
    <t>Salida de mortal agrupado hacia adelante</t>
  </si>
  <si>
    <t>Salida de doble mortal agrupado hacía atrás</t>
  </si>
  <si>
    <t>Entrada a botador</t>
  </si>
  <si>
    <t>Salto Vertical</t>
  </si>
  <si>
    <t>Entrada de kasa a mortal agrup adelanté</t>
  </si>
  <si>
    <t>Vuelos a la horizontal</t>
  </si>
  <si>
    <t>Vuelos por encima de la paralela</t>
  </si>
  <si>
    <t>Salida de mortal agrupado hacia adelanté</t>
  </si>
  <si>
    <t>Salida de mortal agrupado hacia atrás</t>
  </si>
  <si>
    <t>Salida de dobles mortales adelanté o atrás</t>
  </si>
  <si>
    <t>Impulso a manos desde braquial</t>
  </si>
  <si>
    <t>Braquial a Stutkhere</t>
  </si>
  <si>
    <t>Subida de estómago</t>
  </si>
  <si>
    <t>Vuelta atrás</t>
  </si>
  <si>
    <t>Alemana a la horizontal</t>
  </si>
  <si>
    <t>Salvada desdé gigante</t>
  </si>
  <si>
    <t>INDICADORES DE SEGUIMIENTO AKC</t>
  </si>
  <si>
    <t>Atletas evaluados</t>
  </si>
  <si>
    <t>Total</t>
  </si>
  <si>
    <t>% dominio promedio</t>
  </si>
  <si>
    <t>Elementos consolidados</t>
  </si>
  <si>
    <t>Elementos en proceso</t>
  </si>
  <si>
    <t>DOMINIO POR APARATO (ATLETA SELECCIONADO EN FICHA)</t>
  </si>
  <si>
    <t xml:space="preserve">Consolidado = 🟩
Proyeccion = 🟦
En Proceso = 🟨
No Adquirido = 🟥
</t>
  </si>
  <si>
    <t>Circulo a 1/2 Stockly sobre un arzon</t>
  </si>
  <si>
    <t>Salidas de mortal extendido ad o at por lateral</t>
  </si>
  <si>
    <t>Alemana</t>
  </si>
  <si>
    <t>Nivel 3</t>
  </si>
  <si>
    <t>Nivel 4</t>
  </si>
  <si>
    <t>Nivel 5</t>
  </si>
  <si>
    <t>Nivel 6</t>
  </si>
  <si>
    <t>Nivel 7</t>
  </si>
  <si>
    <t>Nivel 8</t>
  </si>
  <si>
    <t>Nivel 9</t>
  </si>
  <si>
    <t>Nivel 10 Jr</t>
  </si>
  <si>
    <t>Nivel 10 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</si>
</sst>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color rgb="FF17365D"/>
      <name val="Aptos Narrow"/>
    </font>
    <font>
      <b/>
      <sz val="16"/>
      <color rgb="FFFFFFFF"/>
      <name val="Aptos Narrow"/>
    </font>
    <font>
      <b/>
      <sz val="11"/>
      <name val="Aptos Narrow"/>
    </font>
    <font>
      <b/>
      <sz val="14"/>
      <name val="Aptos Narrow"/>
    </font>
    <font>
      <sz val="8"/>
      <color theme="1"/>
      <name val="Aptos Narrow"/>
      <family val="2"/>
      <scheme val="minor"/>
    </font>
    <font>
      <sz val="14"/>
      <color theme="1"/>
      <name val="Aptos Narrow (Cuerpo)"/>
    </font>
    <font>
      <sz val="16"/>
      <color theme="1"/>
      <name val="Aptos Narrow"/>
      <scheme val="minor"/>
    </font>
    <font>
      <b/>
      <sz val="14"/>
      <color rgb="FF17365D"/>
      <name val="Aptos Narrow (Cuerpo)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thin">
        <color rgb="FFB7B7B7"/>
      </bottom>
      <diagonal/>
    </border>
    <border>
      <left/>
      <right style="medium">
        <color rgb="FF505050"/>
      </right>
      <top/>
      <bottom style="thin">
        <color rgb="FFB7B7B7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medium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505050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B7B7B7"/>
      </left>
      <right style="medium">
        <color rgb="FF505050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thin">
        <color rgb="FFB7B7B7"/>
      </bottom>
      <diagonal/>
    </border>
    <border>
      <left style="medium">
        <color rgb="FF505050"/>
      </left>
      <right style="thin">
        <color rgb="FF505050"/>
      </right>
      <top/>
      <bottom style="medium">
        <color indexed="64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medium">
        <color indexed="64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/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505050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left" vertical="center" textRotation="90"/>
    </xf>
    <xf numFmtId="0" fontId="0" fillId="0" borderId="4" xfId="0" applyBorder="1" applyAlignment="1">
      <alignment horizontal="center" vertical="center"/>
    </xf>
    <xf numFmtId="0" fontId="1" fillId="8" borderId="0" xfId="0" applyFont="1" applyFill="1"/>
    <xf numFmtId="0" fontId="1" fillId="10" borderId="0" xfId="0" applyFont="1" applyFill="1"/>
    <xf numFmtId="0" fontId="4" fillId="0" borderId="0" xfId="0" applyFont="1"/>
    <xf numFmtId="9" fontId="0" fillId="0" borderId="0" xfId="0" applyNumberFormat="1"/>
    <xf numFmtId="0" fontId="5" fillId="11" borderId="0" xfId="0" applyFont="1" applyFill="1"/>
    <xf numFmtId="9" fontId="5" fillId="11" borderId="0" xfId="0" applyNumberFormat="1" applyFont="1" applyFill="1"/>
    <xf numFmtId="0" fontId="0" fillId="2" borderId="8" xfId="0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7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10" borderId="14" xfId="0" applyFont="1" applyFill="1" applyBorder="1" applyAlignment="1">
      <alignment horizontal="left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1" borderId="0" xfId="0" applyFont="1" applyFill="1" applyAlignment="1">
      <alignment vertical="center" textRotation="90"/>
    </xf>
    <xf numFmtId="0" fontId="0" fillId="21" borderId="0" xfId="0" applyFill="1"/>
    <xf numFmtId="0" fontId="7" fillId="0" borderId="14" xfId="0" applyFont="1" applyBorder="1" applyAlignment="1">
      <alignment horizontal="center" vertical="center" textRotation="90"/>
    </xf>
    <xf numFmtId="0" fontId="8" fillId="0" borderId="15" xfId="0" applyFont="1" applyBorder="1" applyAlignment="1">
      <alignment horizontal="center" vertical="top" wrapText="1"/>
    </xf>
    <xf numFmtId="0" fontId="1" fillId="8" borderId="25" xfId="0" applyFont="1" applyFill="1" applyBorder="1" applyAlignment="1">
      <alignment horizontal="center" vertical="center" textRotation="90"/>
    </xf>
    <xf numFmtId="0" fontId="1" fillId="8" borderId="26" xfId="0" applyFont="1" applyFill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 textRotation="90"/>
    </xf>
    <xf numFmtId="0" fontId="0" fillId="0" borderId="34" xfId="0" applyBorder="1"/>
    <xf numFmtId="0" fontId="0" fillId="0" borderId="35" xfId="0" applyBorder="1"/>
    <xf numFmtId="0" fontId="7" fillId="0" borderId="36" xfId="0" applyFont="1" applyBorder="1" applyAlignment="1">
      <alignment horizontal="center" vertical="center" textRotation="90"/>
    </xf>
    <xf numFmtId="0" fontId="0" fillId="0" borderId="37" xfId="0" applyBorder="1"/>
    <xf numFmtId="0" fontId="0" fillId="7" borderId="40" xfId="0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 textRotation="90"/>
    </xf>
    <xf numFmtId="0" fontId="3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2" borderId="36" xfId="0" applyFont="1" applyFill="1" applyBorder="1" applyAlignment="1">
      <alignment horizontal="center" vertical="center" textRotation="90"/>
    </xf>
    <xf numFmtId="0" fontId="1" fillId="21" borderId="0" xfId="0" applyFont="1" applyFill="1" applyAlignment="1">
      <alignment horizontal="center" vertical="center" textRotation="90"/>
    </xf>
    <xf numFmtId="0" fontId="1" fillId="13" borderId="23" xfId="0" applyFont="1" applyFill="1" applyBorder="1" applyAlignment="1">
      <alignment horizontal="center" vertical="center" textRotation="90"/>
    </xf>
    <xf numFmtId="0" fontId="1" fillId="13" borderId="2" xfId="0" applyFont="1" applyFill="1" applyBorder="1" applyAlignment="1">
      <alignment horizontal="center" vertical="center" textRotation="90"/>
    </xf>
    <xf numFmtId="0" fontId="1" fillId="14" borderId="24" xfId="0" applyFont="1" applyFill="1" applyBorder="1" applyAlignment="1">
      <alignment horizontal="center" vertical="center" textRotation="90"/>
    </xf>
    <xf numFmtId="0" fontId="1" fillId="14" borderId="0" xfId="0" applyFont="1" applyFill="1" applyAlignment="1">
      <alignment horizontal="center" vertical="center" textRotation="90"/>
    </xf>
    <xf numFmtId="0" fontId="1" fillId="15" borderId="24" xfId="0" applyFont="1" applyFill="1" applyBorder="1" applyAlignment="1">
      <alignment horizontal="center" vertical="center" textRotation="90"/>
    </xf>
    <xf numFmtId="0" fontId="1" fillId="15" borderId="0" xfId="0" applyFont="1" applyFill="1" applyAlignment="1">
      <alignment horizontal="center" vertical="center" textRotation="90"/>
    </xf>
    <xf numFmtId="0" fontId="1" fillId="20" borderId="24" xfId="0" applyFont="1" applyFill="1" applyBorder="1" applyAlignment="1">
      <alignment horizontal="center" vertical="center" textRotation="90"/>
    </xf>
    <xf numFmtId="0" fontId="1" fillId="20" borderId="0" xfId="0" applyFont="1" applyFill="1" applyAlignment="1">
      <alignment horizontal="center" vertical="center" textRotation="90"/>
    </xf>
    <xf numFmtId="0" fontId="1" fillId="19" borderId="24" xfId="0" applyFont="1" applyFill="1" applyBorder="1" applyAlignment="1">
      <alignment horizontal="center" vertical="center" textRotation="90"/>
    </xf>
    <xf numFmtId="0" fontId="1" fillId="19" borderId="0" xfId="0" applyFont="1" applyFill="1" applyAlignment="1">
      <alignment horizontal="center" vertical="center" textRotation="90"/>
    </xf>
    <xf numFmtId="0" fontId="1" fillId="18" borderId="24" xfId="0" applyFont="1" applyFill="1" applyBorder="1" applyAlignment="1">
      <alignment horizontal="center" vertical="center" textRotation="90"/>
    </xf>
    <xf numFmtId="0" fontId="1" fillId="18" borderId="0" xfId="0" applyFont="1" applyFill="1" applyAlignment="1">
      <alignment horizontal="center" vertical="center" textRotation="90"/>
    </xf>
    <xf numFmtId="0" fontId="1" fillId="17" borderId="24" xfId="0" applyFont="1" applyFill="1" applyBorder="1" applyAlignment="1">
      <alignment horizontal="center" vertical="center" textRotation="90"/>
    </xf>
    <xf numFmtId="0" fontId="1" fillId="17" borderId="0" xfId="0" applyFont="1" applyFill="1" applyAlignment="1">
      <alignment horizontal="center" vertical="center" textRotation="90"/>
    </xf>
    <xf numFmtId="0" fontId="1" fillId="16" borderId="24" xfId="0" applyFont="1" applyFill="1" applyBorder="1" applyAlignment="1">
      <alignment horizontal="center" vertical="center" textRotation="90"/>
    </xf>
    <xf numFmtId="0" fontId="1" fillId="16" borderId="0" xfId="0" applyFont="1" applyFill="1" applyAlignment="1">
      <alignment horizontal="center" vertical="center" textRotation="90"/>
    </xf>
    <xf numFmtId="0" fontId="1" fillId="21" borderId="36" xfId="0" applyFont="1" applyFill="1" applyBorder="1" applyAlignment="1">
      <alignment horizontal="center" vertical="center" textRotation="90"/>
    </xf>
    <xf numFmtId="0" fontId="1" fillId="21" borderId="44" xfId="0" applyFont="1" applyFill="1" applyBorder="1" applyAlignment="1">
      <alignment horizontal="center" vertical="center" textRotation="90"/>
    </xf>
    <xf numFmtId="0" fontId="0" fillId="0" borderId="36" xfId="0" applyBorder="1" applyAlignment="1">
      <alignment horizontal="center"/>
    </xf>
    <xf numFmtId="0" fontId="1" fillId="12" borderId="0" xfId="0" applyFont="1" applyFill="1" applyAlignment="1">
      <alignment horizontal="center" vertical="center" textRotation="90"/>
    </xf>
    <xf numFmtId="0" fontId="1" fillId="12" borderId="23" xfId="0" applyFont="1" applyFill="1" applyBorder="1" applyAlignment="1">
      <alignment horizontal="center" vertical="center" textRotation="90"/>
    </xf>
    <xf numFmtId="0" fontId="1" fillId="12" borderId="2" xfId="0" applyFont="1" applyFill="1" applyBorder="1" applyAlignment="1">
      <alignment horizontal="center" vertical="center" textRotation="90"/>
    </xf>
    <xf numFmtId="0" fontId="1" fillId="13" borderId="6" xfId="0" applyFont="1" applyFill="1" applyBorder="1" applyAlignment="1">
      <alignment horizontal="center" vertical="center" textRotation="90"/>
    </xf>
    <xf numFmtId="0" fontId="1" fillId="13" borderId="13" xfId="0" applyFont="1" applyFill="1" applyBorder="1" applyAlignment="1">
      <alignment horizontal="center" vertical="center" textRotation="90"/>
    </xf>
    <xf numFmtId="0" fontId="1" fillId="15" borderId="6" xfId="0" applyFont="1" applyFill="1" applyBorder="1" applyAlignment="1">
      <alignment horizontal="center" vertical="center" textRotation="90"/>
    </xf>
    <xf numFmtId="0" fontId="1" fillId="15" borderId="13" xfId="0" applyFont="1" applyFill="1" applyBorder="1" applyAlignment="1">
      <alignment horizontal="center" vertical="center" textRotation="90"/>
    </xf>
    <xf numFmtId="0" fontId="1" fillId="15" borderId="2" xfId="0" applyFont="1" applyFill="1" applyBorder="1" applyAlignment="1">
      <alignment horizontal="center" vertical="center" textRotation="90"/>
    </xf>
    <xf numFmtId="0" fontId="1" fillId="18" borderId="6" xfId="0" applyFont="1" applyFill="1" applyBorder="1" applyAlignment="1">
      <alignment horizontal="center" vertical="center" textRotation="90"/>
    </xf>
    <xf numFmtId="0" fontId="1" fillId="18" borderId="13" xfId="0" applyFont="1" applyFill="1" applyBorder="1" applyAlignment="1">
      <alignment horizontal="center" vertical="center" textRotation="90"/>
    </xf>
    <xf numFmtId="0" fontId="1" fillId="18" borderId="2" xfId="0" applyFont="1" applyFill="1" applyBorder="1" applyAlignment="1">
      <alignment horizontal="center" vertical="center" textRotation="90"/>
    </xf>
    <xf numFmtId="0" fontId="1" fillId="14" borderId="6" xfId="0" applyFont="1" applyFill="1" applyBorder="1" applyAlignment="1">
      <alignment horizontal="center" vertical="center" textRotation="90"/>
    </xf>
    <xf numFmtId="0" fontId="1" fillId="14" borderId="13" xfId="0" applyFont="1" applyFill="1" applyBorder="1" applyAlignment="1">
      <alignment horizontal="center" vertical="center" textRotation="90"/>
    </xf>
    <xf numFmtId="0" fontId="1" fillId="16" borderId="6" xfId="0" applyFont="1" applyFill="1" applyBorder="1" applyAlignment="1">
      <alignment horizontal="center" vertical="center" textRotation="90"/>
    </xf>
    <xf numFmtId="0" fontId="1" fillId="16" borderId="13" xfId="0" applyFont="1" applyFill="1" applyBorder="1" applyAlignment="1">
      <alignment horizontal="center" vertical="center" textRotation="90"/>
    </xf>
    <xf numFmtId="0" fontId="1" fillId="17" borderId="6" xfId="0" applyFont="1" applyFill="1" applyBorder="1" applyAlignment="1">
      <alignment horizontal="center" vertical="center" textRotation="90"/>
    </xf>
    <xf numFmtId="0" fontId="1" fillId="17" borderId="13" xfId="0" applyFont="1" applyFill="1" applyBorder="1" applyAlignment="1">
      <alignment horizontal="center" vertical="center" textRotation="90"/>
    </xf>
    <xf numFmtId="0" fontId="1" fillId="19" borderId="6" xfId="0" applyFont="1" applyFill="1" applyBorder="1" applyAlignment="1">
      <alignment horizontal="center" vertical="center" textRotation="90"/>
    </xf>
    <xf numFmtId="0" fontId="1" fillId="19" borderId="13" xfId="0" applyFont="1" applyFill="1" applyBorder="1" applyAlignment="1">
      <alignment horizontal="center" vertical="center" textRotation="90"/>
    </xf>
    <xf numFmtId="0" fontId="1" fillId="20" borderId="6" xfId="0" applyFont="1" applyFill="1" applyBorder="1" applyAlignment="1">
      <alignment horizontal="center" vertical="center" textRotation="90"/>
    </xf>
    <xf numFmtId="0" fontId="1" fillId="20" borderId="13" xfId="0" applyFont="1" applyFill="1" applyBorder="1" applyAlignment="1">
      <alignment horizontal="center" vertical="center" textRotation="90"/>
    </xf>
    <xf numFmtId="0" fontId="1" fillId="17" borderId="2" xfId="0" applyFont="1" applyFill="1" applyBorder="1" applyAlignment="1">
      <alignment horizontal="center" vertical="center" textRotation="90"/>
    </xf>
    <xf numFmtId="0" fontId="1" fillId="16" borderId="23" xfId="0" applyFont="1" applyFill="1" applyBorder="1" applyAlignment="1">
      <alignment horizontal="center" vertical="center" textRotation="90"/>
    </xf>
    <xf numFmtId="0" fontId="1" fillId="16" borderId="2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9" borderId="29" xfId="0" applyFont="1" applyFill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/>
    </xf>
    <xf numFmtId="0" fontId="7" fillId="0" borderId="39" xfId="0" applyFont="1" applyBorder="1" applyAlignment="1">
      <alignment horizontal="center" vertical="center" textRotation="90"/>
    </xf>
    <xf numFmtId="0" fontId="7" fillId="0" borderId="32" xfId="0" applyFont="1" applyBorder="1" applyAlignment="1">
      <alignment horizontal="center" vertical="center" textRotation="90"/>
    </xf>
    <xf numFmtId="0" fontId="2" fillId="9" borderId="2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28" xfId="0" applyBorder="1"/>
    <xf numFmtId="0" fontId="2" fillId="9" borderId="38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35" xfId="0" applyBorder="1"/>
    <xf numFmtId="0" fontId="1" fillId="12" borderId="45" xfId="0" applyFont="1" applyFill="1" applyBorder="1" applyAlignment="1">
      <alignment horizontal="center" vertical="center" textRotation="90"/>
    </xf>
    <xf numFmtId="0" fontId="1" fillId="13" borderId="24" xfId="0" applyFont="1" applyFill="1" applyBorder="1" applyAlignment="1">
      <alignment horizontal="center" vertical="center" textRotation="90"/>
    </xf>
    <xf numFmtId="0" fontId="1" fillId="13" borderId="0" xfId="0" applyFont="1" applyFill="1" applyAlignment="1">
      <alignment horizontal="center" vertical="center" textRotation="90"/>
    </xf>
    <xf numFmtId="0" fontId="1" fillId="21" borderId="45" xfId="0" applyFont="1" applyFill="1" applyBorder="1" applyAlignment="1">
      <alignment horizontal="center" vertical="center" textRotation="90"/>
    </xf>
    <xf numFmtId="0" fontId="1" fillId="10" borderId="0" xfId="0" applyFont="1" applyFill="1"/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FF0000"/>
      </font>
      <fill>
        <patternFill patternType="solid">
          <fgColor rgb="FFF2F2F2"/>
          <bgColor rgb="FFFF0000"/>
        </patternFill>
      </fill>
    </dxf>
    <dxf>
      <font>
        <color rgb="FF0070C0"/>
      </font>
      <fill>
        <patternFill patternType="solid">
          <fgColor rgb="FFFFF2CC"/>
          <bgColor rgb="FF0070C0"/>
        </patternFill>
      </fill>
    </dxf>
    <dxf>
      <font>
        <color rgb="FFFFC000"/>
      </font>
      <fill>
        <patternFill patternType="solid">
          <fgColor rgb="FFFCE4D6"/>
          <bgColor rgb="FFFFC000"/>
        </patternFill>
      </fill>
    </dxf>
    <dxf>
      <font>
        <color theme="9"/>
      </font>
      <fill>
        <patternFill patternType="solid">
          <fgColor rgb="FFE2F0D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Dominio promedio por aparato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INDICADORES!$B$11</c:f>
              <c:strCache>
                <c:ptCount val="1"/>
                <c:pt idx="0">
                  <c:v>% dominio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INDICADORES!$A$12:$A$27</c:f>
              <c:strCache>
                <c:ptCount val="16"/>
                <c:pt idx="0">
                  <c:v>POSICIONES BÁSICAS Y FUERZA</c:v>
                </c:pt>
                <c:pt idx="1">
                  <c:v>ACROBATICO HACÍA DELANTE</c:v>
                </c:pt>
                <c:pt idx="2">
                  <c:v>ACROBATICO HACÍA ATRÁS</c:v>
                </c:pt>
                <c:pt idx="3">
                  <c:v>ACROBATICO CON GIRO</c:v>
                </c:pt>
                <c:pt idx="4">
                  <c:v>HONGO</c:v>
                </c:pt>
                <c:pt idx="5">
                  <c:v>CABALLO SIN ARZON</c:v>
                </c:pt>
                <c:pt idx="6">
                  <c:v>CABALLO CON ARZONES</c:v>
                </c:pt>
                <c:pt idx="7">
                  <c:v>ELEMENTOS DE FUERZA</c:v>
                </c:pt>
                <c:pt idx="8">
                  <c:v>ELEMENTOS DE VUELO</c:v>
                </c:pt>
                <c:pt idx="9">
                  <c:v>ACCIONES SIN TABLA DE SALTO</c:v>
                </c:pt>
                <c:pt idx="10">
                  <c:v>SALTOS</c:v>
                </c:pt>
                <c:pt idx="11">
                  <c:v>ELEMENTOS EN SUSPENSION</c:v>
                </c:pt>
                <c:pt idx="12">
                  <c:v>ELEMENTOS EN APOYO</c:v>
                </c:pt>
                <c:pt idx="13">
                  <c:v>ELEMENTOS EN APOYO BRAQUIAL</c:v>
                </c:pt>
                <c:pt idx="14">
                  <c:v>ELEMENTOS DE VUELO Y SOLTADAS</c:v>
                </c:pt>
                <c:pt idx="15">
                  <c:v>ACERCAMIENTO A LA BARRA</c:v>
                </c:pt>
              </c:strCache>
            </c:strRef>
          </c:cat>
          <c:val>
            <c:numRef>
              <c:f>INDICADORES!$B$12:$B$27</c:f>
              <c:numCache>
                <c:formatCode>0%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0.88461538461538458</c:v>
                </c:pt>
                <c:pt idx="7">
                  <c:v>0.8571428571428571</c:v>
                </c:pt>
                <c:pt idx="8">
                  <c:v>1</c:v>
                </c:pt>
                <c:pt idx="9">
                  <c:v>1</c:v>
                </c:pt>
                <c:pt idx="10">
                  <c:v>0.66666666666666663</c:v>
                </c:pt>
                <c:pt idx="11">
                  <c:v>0.94444444444444442</c:v>
                </c:pt>
                <c:pt idx="12">
                  <c:v>0.78260869565217395</c:v>
                </c:pt>
                <c:pt idx="13">
                  <c:v>0.63636363636363635</c:v>
                </c:pt>
                <c:pt idx="14">
                  <c:v>0.76923076923076927</c:v>
                </c:pt>
                <c:pt idx="15">
                  <c:v>0.82352941176470584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8-0C4A-AD9E-939F1D725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Aparato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Distribución de estados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INDICADORES!$E$3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INDICADORES!$D$4:$D$7</c:f>
              <c:strCache>
                <c:ptCount val="4"/>
                <c:pt idx="0">
                  <c:v>N/A</c:v>
                </c:pt>
                <c:pt idx="1">
                  <c:v>Proyección</c:v>
                </c:pt>
                <c:pt idx="2">
                  <c:v>En proceso</c:v>
                </c:pt>
                <c:pt idx="3">
                  <c:v>Consolidado</c:v>
                </c:pt>
              </c:strCache>
            </c:strRef>
          </c:cat>
          <c:val>
            <c:numRef>
              <c:f>INDICADORES!$E$4:$E$7</c:f>
              <c:numCache>
                <c:formatCode>General</c:formatCode>
                <c:ptCount val="4"/>
                <c:pt idx="0">
                  <c:v>97</c:v>
                </c:pt>
                <c:pt idx="1">
                  <c:v>3677</c:v>
                </c:pt>
                <c:pt idx="2">
                  <c:v>1066</c:v>
                </c:pt>
                <c:pt idx="3">
                  <c:v>3170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3-1849-8D6B-02F3489D4D1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25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279"/>
  <sheetViews>
    <sheetView showGridLines="0" tabSelected="1" zoomScale="140" zoomScaleNormal="140" zoomScaleSheetLayoutView="100" workbookViewId="0">
      <pane xSplit="2" ySplit="1" topLeftCell="C220" activePane="bottomRight" state="frozen"/>
      <selection pane="topRight" activeCell="X1" sqref="X1"/>
      <selection pane="bottomLeft" activeCell="B102" sqref="B102"/>
      <selection pane="bottomRight" activeCell="B1" sqref="B1"/>
    </sheetView>
  </sheetViews>
  <sheetFormatPr baseColWidth="10" defaultColWidth="8.85546875" defaultRowHeight="15"/>
  <cols>
    <col min="1" max="1" width="9.42578125" style="32" customWidth="1"/>
    <col min="2" max="2" width="37.140625" style="1" bestFit="1" customWidth="1"/>
    <col min="3" max="3" width="3" bestFit="1" customWidth="1"/>
    <col min="4" max="4" width="2.7109375" customWidth="1"/>
    <col min="5" max="31" width="3" bestFit="1" customWidth="1"/>
    <col min="32" max="32" width="3" customWidth="1"/>
    <col min="33" max="33" width="2.85546875" customWidth="1"/>
    <col min="34" max="67" width="3" bestFit="1" customWidth="1"/>
  </cols>
  <sheetData>
    <row r="1" spans="1:41" s="8" customFormat="1" ht="99" customHeight="1" thickBot="1">
      <c r="A1" s="51"/>
      <c r="B1" s="52" t="s">
        <v>355</v>
      </c>
      <c r="C1" s="53" t="s">
        <v>0</v>
      </c>
      <c r="D1" s="53" t="s">
        <v>1</v>
      </c>
      <c r="E1" s="53" t="s">
        <v>2</v>
      </c>
      <c r="F1" s="53" t="s">
        <v>3</v>
      </c>
      <c r="G1" s="53" t="s">
        <v>4</v>
      </c>
      <c r="H1" s="53" t="s">
        <v>5</v>
      </c>
      <c r="I1" s="53" t="s">
        <v>6</v>
      </c>
      <c r="J1" s="53" t="s">
        <v>7</v>
      </c>
      <c r="K1" s="53" t="s">
        <v>8</v>
      </c>
      <c r="L1" s="53" t="s">
        <v>9</v>
      </c>
      <c r="M1" s="53" t="s">
        <v>10</v>
      </c>
      <c r="N1" s="53" t="s">
        <v>11</v>
      </c>
      <c r="O1" s="53" t="s">
        <v>12</v>
      </c>
      <c r="P1" s="53" t="s">
        <v>13</v>
      </c>
      <c r="Q1" s="53" t="s">
        <v>14</v>
      </c>
      <c r="R1" s="53" t="s">
        <v>15</v>
      </c>
      <c r="S1" s="53" t="s">
        <v>16</v>
      </c>
      <c r="T1" s="53" t="s">
        <v>17</v>
      </c>
      <c r="U1" s="53" t="s">
        <v>18</v>
      </c>
      <c r="V1" s="53" t="s">
        <v>19</v>
      </c>
      <c r="W1" s="53" t="s">
        <v>20</v>
      </c>
      <c r="X1" s="53" t="s">
        <v>21</v>
      </c>
      <c r="Y1" s="53" t="s">
        <v>22</v>
      </c>
      <c r="Z1" s="53" t="s">
        <v>23</v>
      </c>
      <c r="AA1" s="53" t="s">
        <v>24</v>
      </c>
      <c r="AB1" s="53" t="s">
        <v>25</v>
      </c>
      <c r="AC1" s="53" t="s">
        <v>26</v>
      </c>
      <c r="AD1" s="53" t="s">
        <v>27</v>
      </c>
      <c r="AE1" s="53" t="s">
        <v>28</v>
      </c>
      <c r="AF1" s="54" t="s">
        <v>29</v>
      </c>
    </row>
    <row r="2" spans="1:41" ht="15.75" thickBot="1">
      <c r="A2" s="120" t="s">
        <v>30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2"/>
    </row>
    <row r="3" spans="1:41" ht="15" customHeight="1">
      <c r="A3" s="116" t="s">
        <v>31</v>
      </c>
      <c r="B3" s="16" t="s">
        <v>32</v>
      </c>
      <c r="C3" s="17" t="s">
        <v>33</v>
      </c>
      <c r="D3" s="18" t="s">
        <v>33</v>
      </c>
      <c r="E3" s="18" t="s">
        <v>33</v>
      </c>
      <c r="F3" s="18" t="s">
        <v>33</v>
      </c>
      <c r="G3" s="18" t="s">
        <v>33</v>
      </c>
      <c r="H3" s="18" t="s">
        <v>33</v>
      </c>
      <c r="I3" s="18" t="s">
        <v>33</v>
      </c>
      <c r="J3" s="18" t="s">
        <v>33</v>
      </c>
      <c r="K3" s="18" t="s">
        <v>33</v>
      </c>
      <c r="L3" s="18" t="s">
        <v>33</v>
      </c>
      <c r="M3" s="18" t="s">
        <v>33</v>
      </c>
      <c r="N3" s="18" t="s">
        <v>33</v>
      </c>
      <c r="O3" s="18" t="s">
        <v>33</v>
      </c>
      <c r="P3" s="18" t="s">
        <v>33</v>
      </c>
      <c r="Q3" s="18" t="s">
        <v>33</v>
      </c>
      <c r="R3" s="18" t="s">
        <v>33</v>
      </c>
      <c r="S3" s="18" t="s">
        <v>33</v>
      </c>
      <c r="T3" s="18" t="s">
        <v>33</v>
      </c>
      <c r="U3" s="18" t="s">
        <v>33</v>
      </c>
      <c r="V3" s="18" t="s">
        <v>33</v>
      </c>
      <c r="W3" s="18" t="s">
        <v>33</v>
      </c>
      <c r="X3" s="18" t="s">
        <v>33</v>
      </c>
      <c r="Y3" s="18" t="s">
        <v>33</v>
      </c>
      <c r="Z3" s="18" t="s">
        <v>33</v>
      </c>
      <c r="AA3" s="18" t="s">
        <v>33</v>
      </c>
      <c r="AB3" s="18" t="s">
        <v>33</v>
      </c>
      <c r="AC3" s="18" t="s">
        <v>33</v>
      </c>
      <c r="AD3" s="18" t="s">
        <v>33</v>
      </c>
      <c r="AE3" s="18" t="s">
        <v>33</v>
      </c>
      <c r="AF3" s="55" t="s">
        <v>303</v>
      </c>
      <c r="AG3" s="91" t="s">
        <v>359</v>
      </c>
      <c r="AH3" s="93" t="s">
        <v>360</v>
      </c>
      <c r="AI3" s="101" t="s">
        <v>361</v>
      </c>
      <c r="AJ3" s="95" t="s">
        <v>362</v>
      </c>
      <c r="AK3" s="103" t="s">
        <v>363</v>
      </c>
      <c r="AL3" s="105" t="s">
        <v>364</v>
      </c>
      <c r="AM3" s="98" t="s">
        <v>365</v>
      </c>
      <c r="AN3" s="107" t="s">
        <v>366</v>
      </c>
      <c r="AO3" s="109" t="s">
        <v>367</v>
      </c>
    </row>
    <row r="4" spans="1:41">
      <c r="A4" s="117"/>
      <c r="B4" s="2" t="s">
        <v>35</v>
      </c>
      <c r="C4" s="9" t="s">
        <v>33</v>
      </c>
      <c r="D4" s="9" t="s">
        <v>33</v>
      </c>
      <c r="E4" s="9" t="s">
        <v>33</v>
      </c>
      <c r="F4" s="9" t="s">
        <v>33</v>
      </c>
      <c r="G4" s="9" t="s">
        <v>33</v>
      </c>
      <c r="H4" s="9" t="s">
        <v>33</v>
      </c>
      <c r="I4" s="9" t="s">
        <v>33</v>
      </c>
      <c r="J4" s="9" t="s">
        <v>33</v>
      </c>
      <c r="K4" s="9" t="s">
        <v>33</v>
      </c>
      <c r="L4" s="9" t="s">
        <v>33</v>
      </c>
      <c r="M4" s="9" t="s">
        <v>33</v>
      </c>
      <c r="N4" s="9" t="s">
        <v>33</v>
      </c>
      <c r="O4" s="9" t="s">
        <v>33</v>
      </c>
      <c r="P4" s="9" t="s">
        <v>33</v>
      </c>
      <c r="Q4" s="9" t="s">
        <v>33</v>
      </c>
      <c r="R4" s="9" t="s">
        <v>33</v>
      </c>
      <c r="S4" s="9" t="s">
        <v>33</v>
      </c>
      <c r="T4" s="9" t="s">
        <v>33</v>
      </c>
      <c r="U4" s="9" t="s">
        <v>33</v>
      </c>
      <c r="V4" s="9" t="s">
        <v>33</v>
      </c>
      <c r="W4" s="9" t="s">
        <v>33</v>
      </c>
      <c r="X4" s="9" t="s">
        <v>33</v>
      </c>
      <c r="Y4" s="9" t="s">
        <v>33</v>
      </c>
      <c r="Z4" s="9" t="s">
        <v>33</v>
      </c>
      <c r="AA4" s="9" t="s">
        <v>33</v>
      </c>
      <c r="AB4" s="9" t="s">
        <v>33</v>
      </c>
      <c r="AC4" s="9" t="s">
        <v>33</v>
      </c>
      <c r="AD4" s="9" t="s">
        <v>33</v>
      </c>
      <c r="AE4" s="9" t="s">
        <v>33</v>
      </c>
      <c r="AF4" s="56" t="s">
        <v>303</v>
      </c>
      <c r="AG4" s="92"/>
      <c r="AH4" s="94"/>
      <c r="AI4" s="102"/>
      <c r="AJ4" s="96"/>
      <c r="AK4" s="104"/>
      <c r="AL4" s="106"/>
      <c r="AM4" s="99"/>
      <c r="AN4" s="108"/>
      <c r="AO4" s="110"/>
    </row>
    <row r="5" spans="1:41">
      <c r="A5" s="117"/>
      <c r="B5" s="2" t="s">
        <v>36</v>
      </c>
      <c r="C5" s="9" t="s">
        <v>33</v>
      </c>
      <c r="D5" s="9" t="s">
        <v>33</v>
      </c>
      <c r="E5" s="9" t="s">
        <v>33</v>
      </c>
      <c r="F5" s="9" t="s">
        <v>33</v>
      </c>
      <c r="G5" s="9" t="s">
        <v>33</v>
      </c>
      <c r="H5" s="9" t="s">
        <v>33</v>
      </c>
      <c r="I5" s="9" t="s">
        <v>33</v>
      </c>
      <c r="J5" s="9" t="s">
        <v>33</v>
      </c>
      <c r="K5" s="9" t="s">
        <v>33</v>
      </c>
      <c r="L5" s="9" t="s">
        <v>33</v>
      </c>
      <c r="M5" s="9" t="s">
        <v>33</v>
      </c>
      <c r="N5" s="9" t="s">
        <v>33</v>
      </c>
      <c r="O5" s="9" t="s">
        <v>33</v>
      </c>
      <c r="P5" s="9" t="s">
        <v>33</v>
      </c>
      <c r="Q5" s="9" t="s">
        <v>33</v>
      </c>
      <c r="R5" s="9" t="s">
        <v>33</v>
      </c>
      <c r="S5" s="9" t="s">
        <v>33</v>
      </c>
      <c r="T5" s="9" t="s">
        <v>33</v>
      </c>
      <c r="U5" s="9" t="s">
        <v>33</v>
      </c>
      <c r="V5" s="9" t="s">
        <v>33</v>
      </c>
      <c r="W5" s="9" t="s">
        <v>33</v>
      </c>
      <c r="X5" s="9" t="s">
        <v>33</v>
      </c>
      <c r="Y5" s="9" t="s">
        <v>33</v>
      </c>
      <c r="Z5" s="9" t="s">
        <v>33</v>
      </c>
      <c r="AA5" s="9" t="s">
        <v>33</v>
      </c>
      <c r="AB5" s="9" t="s">
        <v>33</v>
      </c>
      <c r="AC5" s="9" t="s">
        <v>33</v>
      </c>
      <c r="AD5" s="9" t="s">
        <v>33</v>
      </c>
      <c r="AE5" s="9" t="s">
        <v>33</v>
      </c>
      <c r="AF5" s="56" t="s">
        <v>303</v>
      </c>
      <c r="AG5" s="92"/>
      <c r="AH5" s="94"/>
      <c r="AI5" s="102"/>
      <c r="AJ5" s="96"/>
      <c r="AK5" s="104"/>
      <c r="AL5" s="106"/>
      <c r="AM5" s="99"/>
      <c r="AN5" s="108"/>
      <c r="AO5" s="110"/>
    </row>
    <row r="6" spans="1:41">
      <c r="A6" s="117"/>
      <c r="B6" s="2" t="s">
        <v>37</v>
      </c>
      <c r="C6" s="9" t="s">
        <v>33</v>
      </c>
      <c r="D6" s="9" t="s">
        <v>33</v>
      </c>
      <c r="E6" s="9" t="s">
        <v>33</v>
      </c>
      <c r="F6" s="9" t="s">
        <v>33</v>
      </c>
      <c r="G6" s="9" t="s">
        <v>33</v>
      </c>
      <c r="H6" s="9" t="s">
        <v>33</v>
      </c>
      <c r="I6" s="9" t="s">
        <v>33</v>
      </c>
      <c r="J6" s="9" t="s">
        <v>33</v>
      </c>
      <c r="K6" s="9" t="s">
        <v>33</v>
      </c>
      <c r="L6" s="9" t="s">
        <v>33</v>
      </c>
      <c r="M6" s="9" t="s">
        <v>33</v>
      </c>
      <c r="N6" s="9" t="s">
        <v>33</v>
      </c>
      <c r="O6" s="9" t="s">
        <v>33</v>
      </c>
      <c r="P6" s="9" t="s">
        <v>33</v>
      </c>
      <c r="Q6" s="9" t="s">
        <v>33</v>
      </c>
      <c r="R6" s="9" t="s">
        <v>33</v>
      </c>
      <c r="S6" s="9" t="s">
        <v>33</v>
      </c>
      <c r="T6" s="9" t="s">
        <v>33</v>
      </c>
      <c r="U6" s="9" t="s">
        <v>33</v>
      </c>
      <c r="V6" s="9" t="s">
        <v>33</v>
      </c>
      <c r="W6" s="9" t="s">
        <v>33</v>
      </c>
      <c r="X6" s="9" t="s">
        <v>33</v>
      </c>
      <c r="Y6" s="9" t="s">
        <v>33</v>
      </c>
      <c r="Z6" s="9" t="s">
        <v>33</v>
      </c>
      <c r="AA6" s="9" t="s">
        <v>33</v>
      </c>
      <c r="AB6" s="9" t="s">
        <v>33</v>
      </c>
      <c r="AC6" s="9" t="s">
        <v>33</v>
      </c>
      <c r="AD6" s="9" t="s">
        <v>33</v>
      </c>
      <c r="AE6" s="9" t="s">
        <v>33</v>
      </c>
      <c r="AF6" s="56" t="s">
        <v>303</v>
      </c>
      <c r="AG6" s="92"/>
      <c r="AH6" s="94"/>
      <c r="AI6" s="102"/>
      <c r="AJ6" s="96"/>
      <c r="AK6" s="104"/>
      <c r="AL6" s="106"/>
      <c r="AM6" s="99"/>
      <c r="AN6" s="108"/>
      <c r="AO6" s="110"/>
    </row>
    <row r="7" spans="1:41">
      <c r="A7" s="117"/>
      <c r="B7" s="2" t="s">
        <v>38</v>
      </c>
      <c r="C7" s="9" t="s">
        <v>33</v>
      </c>
      <c r="D7" s="9" t="s">
        <v>33</v>
      </c>
      <c r="E7" s="9" t="s">
        <v>33</v>
      </c>
      <c r="F7" s="9" t="s">
        <v>33</v>
      </c>
      <c r="G7" s="9" t="s">
        <v>33</v>
      </c>
      <c r="H7" s="9" t="s">
        <v>33</v>
      </c>
      <c r="I7" s="9" t="s">
        <v>33</v>
      </c>
      <c r="J7" s="9" t="s">
        <v>33</v>
      </c>
      <c r="K7" s="9" t="s">
        <v>33</v>
      </c>
      <c r="L7" s="9" t="s">
        <v>33</v>
      </c>
      <c r="M7" s="9" t="s">
        <v>33</v>
      </c>
      <c r="N7" s="9" t="s">
        <v>33</v>
      </c>
      <c r="O7" s="9" t="s">
        <v>33</v>
      </c>
      <c r="P7" s="9" t="s">
        <v>33</v>
      </c>
      <c r="Q7" s="9" t="s">
        <v>33</v>
      </c>
      <c r="R7" s="9" t="s">
        <v>33</v>
      </c>
      <c r="S7" s="9" t="s">
        <v>33</v>
      </c>
      <c r="T7" s="9" t="s">
        <v>33</v>
      </c>
      <c r="U7" s="9" t="s">
        <v>33</v>
      </c>
      <c r="V7" s="9" t="s">
        <v>33</v>
      </c>
      <c r="W7" s="9" t="s">
        <v>33</v>
      </c>
      <c r="X7" s="9" t="s">
        <v>33</v>
      </c>
      <c r="Y7" s="9" t="s">
        <v>33</v>
      </c>
      <c r="Z7" s="9" t="s">
        <v>33</v>
      </c>
      <c r="AA7" s="9" t="s">
        <v>33</v>
      </c>
      <c r="AB7" s="9" t="s">
        <v>33</v>
      </c>
      <c r="AC7" s="9" t="s">
        <v>33</v>
      </c>
      <c r="AD7" s="9" t="s">
        <v>33</v>
      </c>
      <c r="AE7" s="9" t="s">
        <v>33</v>
      </c>
      <c r="AF7" s="56" t="s">
        <v>33</v>
      </c>
      <c r="AG7" s="92"/>
      <c r="AH7" s="94"/>
      <c r="AI7" s="102"/>
      <c r="AJ7" s="96"/>
      <c r="AK7" s="104"/>
      <c r="AL7" s="106"/>
      <c r="AM7" s="99"/>
      <c r="AN7" s="108"/>
      <c r="AO7" s="110"/>
    </row>
    <row r="8" spans="1:41">
      <c r="A8" s="117"/>
      <c r="B8" s="2" t="s">
        <v>39</v>
      </c>
      <c r="C8" s="9" t="s">
        <v>33</v>
      </c>
      <c r="D8" s="9" t="s">
        <v>33</v>
      </c>
      <c r="E8" s="9" t="s">
        <v>33</v>
      </c>
      <c r="F8" s="9" t="s">
        <v>33</v>
      </c>
      <c r="G8" s="9" t="s">
        <v>33</v>
      </c>
      <c r="H8" s="9" t="s">
        <v>33</v>
      </c>
      <c r="I8" s="9" t="s">
        <v>33</v>
      </c>
      <c r="J8" s="9" t="s">
        <v>33</v>
      </c>
      <c r="K8" s="9" t="s">
        <v>33</v>
      </c>
      <c r="L8" s="9" t="s">
        <v>33</v>
      </c>
      <c r="M8" s="9" t="s">
        <v>33</v>
      </c>
      <c r="N8" s="9" t="s">
        <v>33</v>
      </c>
      <c r="O8" s="9" t="s">
        <v>33</v>
      </c>
      <c r="P8" s="9" t="s">
        <v>33</v>
      </c>
      <c r="Q8" s="9" t="s">
        <v>33</v>
      </c>
      <c r="R8" s="9" t="s">
        <v>33</v>
      </c>
      <c r="S8" s="9" t="s">
        <v>33</v>
      </c>
      <c r="T8" s="9" t="s">
        <v>33</v>
      </c>
      <c r="U8" s="9" t="s">
        <v>33</v>
      </c>
      <c r="V8" s="9" t="s">
        <v>33</v>
      </c>
      <c r="W8" s="9" t="s">
        <v>33</v>
      </c>
      <c r="X8" s="9" t="s">
        <v>33</v>
      </c>
      <c r="Y8" s="9" t="s">
        <v>33</v>
      </c>
      <c r="Z8" s="9" t="s">
        <v>33</v>
      </c>
      <c r="AA8" s="9" t="s">
        <v>33</v>
      </c>
      <c r="AB8" s="9" t="s">
        <v>33</v>
      </c>
      <c r="AC8" s="9" t="s">
        <v>33</v>
      </c>
      <c r="AD8" s="9" t="s">
        <v>303</v>
      </c>
      <c r="AE8" s="9" t="s">
        <v>303</v>
      </c>
      <c r="AF8" s="56" t="s">
        <v>303</v>
      </c>
      <c r="AG8" s="92"/>
      <c r="AH8" s="94"/>
      <c r="AI8" s="102"/>
      <c r="AJ8" s="96"/>
      <c r="AK8" s="104"/>
      <c r="AL8" s="106"/>
      <c r="AM8" s="99"/>
      <c r="AN8" s="108"/>
      <c r="AO8" s="110"/>
    </row>
    <row r="9" spans="1:41">
      <c r="A9" s="117"/>
      <c r="B9" s="2" t="s">
        <v>40</v>
      </c>
      <c r="C9" s="9" t="s">
        <v>33</v>
      </c>
      <c r="D9" s="9" t="s">
        <v>33</v>
      </c>
      <c r="E9" s="9" t="s">
        <v>303</v>
      </c>
      <c r="F9" s="9" t="s">
        <v>303</v>
      </c>
      <c r="G9" s="9" t="s">
        <v>33</v>
      </c>
      <c r="H9" s="9" t="s">
        <v>303</v>
      </c>
      <c r="I9" s="9" t="s">
        <v>33</v>
      </c>
      <c r="J9" s="9" t="s">
        <v>33</v>
      </c>
      <c r="K9" s="9" t="s">
        <v>299</v>
      </c>
      <c r="L9" s="9" t="s">
        <v>299</v>
      </c>
      <c r="M9" s="9" t="s">
        <v>303</v>
      </c>
      <c r="N9" s="9" t="s">
        <v>303</v>
      </c>
      <c r="O9" s="9" t="s">
        <v>303</v>
      </c>
      <c r="P9" s="9" t="s">
        <v>303</v>
      </c>
      <c r="Q9" s="9" t="s">
        <v>303</v>
      </c>
      <c r="R9" s="9" t="s">
        <v>303</v>
      </c>
      <c r="S9" s="9" t="s">
        <v>303</v>
      </c>
      <c r="T9" s="9" t="s">
        <v>303</v>
      </c>
      <c r="U9" s="9" t="s">
        <v>303</v>
      </c>
      <c r="V9" s="9" t="s">
        <v>303</v>
      </c>
      <c r="W9" s="9" t="s">
        <v>303</v>
      </c>
      <c r="X9" s="9" t="s">
        <v>303</v>
      </c>
      <c r="Y9" s="9" t="s">
        <v>303</v>
      </c>
      <c r="Z9" s="9" t="s">
        <v>303</v>
      </c>
      <c r="AA9" s="9" t="s">
        <v>303</v>
      </c>
      <c r="AB9" s="9" t="s">
        <v>303</v>
      </c>
      <c r="AC9" s="9" t="s">
        <v>303</v>
      </c>
      <c r="AD9" s="9" t="s">
        <v>303</v>
      </c>
      <c r="AE9" s="9" t="s">
        <v>303</v>
      </c>
      <c r="AF9" s="56" t="s">
        <v>303</v>
      </c>
      <c r="AG9" s="92"/>
      <c r="AH9" s="94"/>
      <c r="AI9" s="102"/>
      <c r="AJ9" s="96"/>
      <c r="AK9" s="104"/>
      <c r="AL9" s="106"/>
      <c r="AM9" s="99"/>
      <c r="AN9" s="108"/>
      <c r="AO9" s="110"/>
    </row>
    <row r="10" spans="1:41">
      <c r="A10" s="117"/>
      <c r="B10" s="2" t="s">
        <v>41</v>
      </c>
      <c r="C10" s="9" t="s">
        <v>33</v>
      </c>
      <c r="D10" s="9" t="s">
        <v>33</v>
      </c>
      <c r="E10" s="9" t="s">
        <v>303</v>
      </c>
      <c r="F10" s="9" t="s">
        <v>303</v>
      </c>
      <c r="G10" s="9" t="s">
        <v>33</v>
      </c>
      <c r="H10" s="9" t="s">
        <v>303</v>
      </c>
      <c r="I10" s="9" t="s">
        <v>33</v>
      </c>
      <c r="J10" s="9" t="s">
        <v>33</v>
      </c>
      <c r="K10" s="9" t="s">
        <v>299</v>
      </c>
      <c r="L10" s="9" t="s">
        <v>299</v>
      </c>
      <c r="M10" s="9" t="s">
        <v>303</v>
      </c>
      <c r="N10" s="9" t="s">
        <v>303</v>
      </c>
      <c r="O10" s="9" t="s">
        <v>303</v>
      </c>
      <c r="P10" s="9" t="s">
        <v>303</v>
      </c>
      <c r="Q10" s="9" t="s">
        <v>303</v>
      </c>
      <c r="R10" s="9" t="s">
        <v>303</v>
      </c>
      <c r="S10" s="9" t="s">
        <v>303</v>
      </c>
      <c r="T10" s="9" t="s">
        <v>303</v>
      </c>
      <c r="U10" s="9" t="s">
        <v>303</v>
      </c>
      <c r="V10" s="9" t="s">
        <v>303</v>
      </c>
      <c r="W10" s="9" t="s">
        <v>303</v>
      </c>
      <c r="X10" s="9" t="s">
        <v>303</v>
      </c>
      <c r="Y10" s="9" t="s">
        <v>303</v>
      </c>
      <c r="Z10" s="9" t="s">
        <v>303</v>
      </c>
      <c r="AA10" s="9" t="s">
        <v>303</v>
      </c>
      <c r="AB10" s="9" t="s">
        <v>303</v>
      </c>
      <c r="AC10" s="9" t="s">
        <v>303</v>
      </c>
      <c r="AD10" s="9" t="s">
        <v>303</v>
      </c>
      <c r="AE10" s="9" t="s">
        <v>303</v>
      </c>
      <c r="AF10" s="56" t="s">
        <v>303</v>
      </c>
      <c r="AG10" s="92"/>
      <c r="AH10" s="94"/>
      <c r="AI10" s="102"/>
      <c r="AJ10" s="96"/>
      <c r="AK10" s="104"/>
      <c r="AL10" s="106"/>
      <c r="AM10" s="99"/>
      <c r="AN10" s="108"/>
      <c r="AO10" s="110"/>
    </row>
    <row r="11" spans="1:41">
      <c r="A11" s="117"/>
      <c r="B11" s="2" t="s">
        <v>42</v>
      </c>
      <c r="C11" s="9" t="s">
        <v>33</v>
      </c>
      <c r="D11" s="9" t="s">
        <v>33</v>
      </c>
      <c r="E11" s="9" t="s">
        <v>33</v>
      </c>
      <c r="F11" s="9" t="s">
        <v>33</v>
      </c>
      <c r="G11" s="9" t="s">
        <v>33</v>
      </c>
      <c r="H11" s="9" t="s">
        <v>33</v>
      </c>
      <c r="I11" s="9" t="s">
        <v>33</v>
      </c>
      <c r="J11" s="9" t="s">
        <v>33</v>
      </c>
      <c r="K11" s="9" t="s">
        <v>33</v>
      </c>
      <c r="L11" s="9" t="s">
        <v>33</v>
      </c>
      <c r="M11" s="9" t="s">
        <v>33</v>
      </c>
      <c r="N11" s="9" t="s">
        <v>33</v>
      </c>
      <c r="O11" s="9" t="s">
        <v>33</v>
      </c>
      <c r="P11" s="9" t="s">
        <v>33</v>
      </c>
      <c r="Q11" s="9" t="s">
        <v>303</v>
      </c>
      <c r="R11" s="9" t="s">
        <v>303</v>
      </c>
      <c r="S11" s="9" t="s">
        <v>303</v>
      </c>
      <c r="T11" s="9" t="s">
        <v>303</v>
      </c>
      <c r="U11" s="9" t="s">
        <v>303</v>
      </c>
      <c r="V11" s="9" t="s">
        <v>303</v>
      </c>
      <c r="W11" s="9" t="s">
        <v>303</v>
      </c>
      <c r="X11" s="9" t="s">
        <v>303</v>
      </c>
      <c r="Y11" s="9" t="s">
        <v>303</v>
      </c>
      <c r="Z11" s="9" t="s">
        <v>303</v>
      </c>
      <c r="AA11" s="9" t="s">
        <v>303</v>
      </c>
      <c r="AB11" s="9" t="s">
        <v>303</v>
      </c>
      <c r="AC11" s="9" t="s">
        <v>303</v>
      </c>
      <c r="AD11" s="9" t="s">
        <v>34</v>
      </c>
      <c r="AE11" s="9" t="s">
        <v>34</v>
      </c>
      <c r="AF11" s="56" t="s">
        <v>34</v>
      </c>
      <c r="AG11" s="92"/>
      <c r="AH11" s="94"/>
      <c r="AI11" s="102"/>
      <c r="AJ11" s="96"/>
      <c r="AK11" s="104"/>
      <c r="AL11" s="106"/>
      <c r="AM11" s="99"/>
      <c r="AN11" s="108"/>
      <c r="AO11" s="110"/>
    </row>
    <row r="12" spans="1:41">
      <c r="A12" s="117"/>
      <c r="B12" s="2" t="s">
        <v>43</v>
      </c>
      <c r="C12" s="9" t="s">
        <v>33</v>
      </c>
      <c r="D12" s="9" t="s">
        <v>33</v>
      </c>
      <c r="E12" s="9" t="s">
        <v>33</v>
      </c>
      <c r="F12" s="9" t="s">
        <v>33</v>
      </c>
      <c r="G12" s="9" t="s">
        <v>33</v>
      </c>
      <c r="H12" s="9" t="s">
        <v>33</v>
      </c>
      <c r="I12" s="9" t="s">
        <v>33</v>
      </c>
      <c r="J12" s="9" t="s">
        <v>33</v>
      </c>
      <c r="K12" s="9" t="s">
        <v>33</v>
      </c>
      <c r="L12" s="9" t="s">
        <v>303</v>
      </c>
      <c r="M12" s="9" t="s">
        <v>303</v>
      </c>
      <c r="N12" s="9" t="s">
        <v>303</v>
      </c>
      <c r="O12" s="9" t="s">
        <v>303</v>
      </c>
      <c r="P12" s="9" t="s">
        <v>303</v>
      </c>
      <c r="Q12" s="9" t="s">
        <v>33</v>
      </c>
      <c r="R12" s="9" t="s">
        <v>33</v>
      </c>
      <c r="S12" s="9" t="s">
        <v>33</v>
      </c>
      <c r="T12" s="9" t="s">
        <v>33</v>
      </c>
      <c r="U12" s="9" t="s">
        <v>303</v>
      </c>
      <c r="V12" s="9" t="s">
        <v>33</v>
      </c>
      <c r="W12" s="9" t="s">
        <v>33</v>
      </c>
      <c r="X12" s="9" t="s">
        <v>303</v>
      </c>
      <c r="Y12" s="9" t="s">
        <v>303</v>
      </c>
      <c r="Z12" s="9" t="s">
        <v>303</v>
      </c>
      <c r="AA12" s="9" t="s">
        <v>303</v>
      </c>
      <c r="AB12" s="9" t="s">
        <v>33</v>
      </c>
      <c r="AC12" s="9" t="s">
        <v>303</v>
      </c>
      <c r="AD12" s="9" t="s">
        <v>303</v>
      </c>
      <c r="AE12" s="9" t="s">
        <v>303</v>
      </c>
      <c r="AF12" s="56" t="s">
        <v>303</v>
      </c>
      <c r="AG12" s="92"/>
      <c r="AH12" s="94"/>
      <c r="AI12" s="102"/>
      <c r="AJ12" s="96"/>
      <c r="AK12" s="104"/>
      <c r="AL12" s="106"/>
      <c r="AM12" s="99"/>
      <c r="AN12" s="108"/>
      <c r="AO12" s="110"/>
    </row>
    <row r="13" spans="1:41">
      <c r="A13" s="117"/>
      <c r="B13" s="2" t="s">
        <v>44</v>
      </c>
      <c r="C13" s="9" t="s">
        <v>33</v>
      </c>
      <c r="D13" s="9" t="s">
        <v>33</v>
      </c>
      <c r="E13" s="9" t="s">
        <v>303</v>
      </c>
      <c r="F13" s="9" t="s">
        <v>303</v>
      </c>
      <c r="G13" s="9" t="s">
        <v>33</v>
      </c>
      <c r="H13" s="9" t="s">
        <v>33</v>
      </c>
      <c r="I13" s="9" t="s">
        <v>33</v>
      </c>
      <c r="J13" s="9" t="s">
        <v>33</v>
      </c>
      <c r="K13" s="9" t="s">
        <v>299</v>
      </c>
      <c r="L13" s="9" t="s">
        <v>299</v>
      </c>
      <c r="M13" s="9" t="s">
        <v>303</v>
      </c>
      <c r="N13" s="9" t="s">
        <v>303</v>
      </c>
      <c r="O13" s="9" t="s">
        <v>303</v>
      </c>
      <c r="P13" s="9" t="s">
        <v>303</v>
      </c>
      <c r="Q13" s="9" t="s">
        <v>33</v>
      </c>
      <c r="R13" s="9" t="s">
        <v>33</v>
      </c>
      <c r="S13" s="9" t="s">
        <v>33</v>
      </c>
      <c r="T13" s="9" t="s">
        <v>33</v>
      </c>
      <c r="U13" s="9" t="s">
        <v>303</v>
      </c>
      <c r="V13" s="9" t="s">
        <v>33</v>
      </c>
      <c r="W13" s="9" t="s">
        <v>33</v>
      </c>
      <c r="X13" s="9" t="s">
        <v>303</v>
      </c>
      <c r="Y13" s="9" t="s">
        <v>303</v>
      </c>
      <c r="Z13" s="9" t="s">
        <v>303</v>
      </c>
      <c r="AA13" s="9" t="s">
        <v>303</v>
      </c>
      <c r="AB13" s="9" t="s">
        <v>33</v>
      </c>
      <c r="AC13" s="9" t="s">
        <v>303</v>
      </c>
      <c r="AD13" s="9" t="s">
        <v>303</v>
      </c>
      <c r="AE13" s="9" t="s">
        <v>303</v>
      </c>
      <c r="AF13" s="56" t="s">
        <v>303</v>
      </c>
      <c r="AG13" s="92"/>
      <c r="AH13" s="94"/>
      <c r="AI13" s="102"/>
      <c r="AJ13" s="96"/>
      <c r="AK13" s="104"/>
      <c r="AL13" s="106"/>
      <c r="AM13" s="99"/>
      <c r="AN13" s="108"/>
      <c r="AO13" s="110"/>
    </row>
    <row r="14" spans="1:41">
      <c r="A14" s="117"/>
      <c r="B14" s="2" t="s">
        <v>45</v>
      </c>
      <c r="C14" s="9" t="s">
        <v>33</v>
      </c>
      <c r="D14" s="9" t="s">
        <v>33</v>
      </c>
      <c r="E14" s="9" t="s">
        <v>303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303</v>
      </c>
      <c r="L14" s="9" t="s">
        <v>303</v>
      </c>
      <c r="M14" s="9" t="s">
        <v>303</v>
      </c>
      <c r="N14" s="9" t="s">
        <v>303</v>
      </c>
      <c r="O14" s="9" t="s">
        <v>33</v>
      </c>
      <c r="P14" s="9" t="s">
        <v>303</v>
      </c>
      <c r="Q14" s="9" t="s">
        <v>33</v>
      </c>
      <c r="R14" s="9" t="s">
        <v>303</v>
      </c>
      <c r="S14" s="9" t="s">
        <v>33</v>
      </c>
      <c r="T14" s="9" t="s">
        <v>33</v>
      </c>
      <c r="U14" s="9" t="s">
        <v>303</v>
      </c>
      <c r="V14" s="9" t="s">
        <v>33</v>
      </c>
      <c r="W14" s="9" t="s">
        <v>303</v>
      </c>
      <c r="X14" s="9" t="s">
        <v>33</v>
      </c>
      <c r="Y14" s="9" t="s">
        <v>303</v>
      </c>
      <c r="Z14" s="9" t="s">
        <v>303</v>
      </c>
      <c r="AA14" s="9" t="s">
        <v>303</v>
      </c>
      <c r="AB14" s="9" t="s">
        <v>33</v>
      </c>
      <c r="AC14" s="9" t="s">
        <v>303</v>
      </c>
      <c r="AD14" s="9" t="s">
        <v>303</v>
      </c>
      <c r="AE14" s="9" t="s">
        <v>303</v>
      </c>
      <c r="AF14" s="56" t="s">
        <v>303</v>
      </c>
      <c r="AG14" s="92"/>
      <c r="AH14" s="94"/>
      <c r="AI14" s="102"/>
      <c r="AJ14" s="96"/>
      <c r="AK14" s="104"/>
      <c r="AL14" s="106"/>
      <c r="AM14" s="99"/>
      <c r="AN14" s="108"/>
      <c r="AO14" s="110"/>
    </row>
    <row r="15" spans="1:41">
      <c r="A15" s="117"/>
      <c r="B15" s="2" t="s">
        <v>46</v>
      </c>
      <c r="C15" s="9" t="s">
        <v>33</v>
      </c>
      <c r="D15" s="9" t="s">
        <v>33</v>
      </c>
      <c r="E15" s="9" t="s">
        <v>303</v>
      </c>
      <c r="F15" s="9" t="s">
        <v>33</v>
      </c>
      <c r="G15" s="9" t="s">
        <v>33</v>
      </c>
      <c r="H15" s="9" t="s">
        <v>33</v>
      </c>
      <c r="I15" s="9" t="s">
        <v>33</v>
      </c>
      <c r="J15" s="9" t="s">
        <v>33</v>
      </c>
      <c r="K15" s="9" t="s">
        <v>303</v>
      </c>
      <c r="L15" s="9" t="s">
        <v>303</v>
      </c>
      <c r="M15" s="9" t="s">
        <v>33</v>
      </c>
      <c r="N15" s="9" t="s">
        <v>303</v>
      </c>
      <c r="O15" s="9" t="s">
        <v>303</v>
      </c>
      <c r="P15" s="9" t="s">
        <v>303</v>
      </c>
      <c r="Q15" s="9" t="s">
        <v>33</v>
      </c>
      <c r="R15" s="9" t="s">
        <v>303</v>
      </c>
      <c r="S15" s="9" t="s">
        <v>33</v>
      </c>
      <c r="T15" s="9" t="s">
        <v>33</v>
      </c>
      <c r="U15" s="9" t="s">
        <v>303</v>
      </c>
      <c r="V15" s="9" t="s">
        <v>33</v>
      </c>
      <c r="W15" s="9" t="s">
        <v>303</v>
      </c>
      <c r="X15" s="9" t="s">
        <v>303</v>
      </c>
      <c r="Y15" s="9" t="s">
        <v>303</v>
      </c>
      <c r="Z15" s="9" t="s">
        <v>303</v>
      </c>
      <c r="AA15" s="9" t="s">
        <v>303</v>
      </c>
      <c r="AB15" s="9" t="s">
        <v>303</v>
      </c>
      <c r="AC15" s="9" t="s">
        <v>303</v>
      </c>
      <c r="AD15" s="9" t="s">
        <v>303</v>
      </c>
      <c r="AE15" s="9" t="s">
        <v>303</v>
      </c>
      <c r="AF15" s="56" t="s">
        <v>303</v>
      </c>
      <c r="AG15" s="114"/>
      <c r="AH15" s="94"/>
      <c r="AI15" s="102"/>
      <c r="AJ15" s="96"/>
      <c r="AK15" s="104"/>
      <c r="AL15" s="106"/>
      <c r="AM15" s="99"/>
      <c r="AN15" s="108"/>
      <c r="AO15" s="110"/>
    </row>
    <row r="16" spans="1:41" ht="15.75" customHeight="1" thickBot="1">
      <c r="A16" s="119"/>
      <c r="B16" s="19" t="s">
        <v>47</v>
      </c>
      <c r="C16" s="20" t="s">
        <v>33</v>
      </c>
      <c r="D16" s="20" t="s">
        <v>33</v>
      </c>
      <c r="E16" s="20" t="s">
        <v>303</v>
      </c>
      <c r="F16" s="20" t="s">
        <v>33</v>
      </c>
      <c r="G16" s="20" t="s">
        <v>33</v>
      </c>
      <c r="H16" s="20" t="s">
        <v>303</v>
      </c>
      <c r="I16" s="20" t="s">
        <v>33</v>
      </c>
      <c r="J16" s="20" t="s">
        <v>303</v>
      </c>
      <c r="K16" s="20" t="s">
        <v>303</v>
      </c>
      <c r="L16" s="20" t="s">
        <v>303</v>
      </c>
      <c r="M16" s="20" t="s">
        <v>33</v>
      </c>
      <c r="N16" s="20" t="s">
        <v>303</v>
      </c>
      <c r="O16" s="20" t="s">
        <v>303</v>
      </c>
      <c r="P16" s="20" t="s">
        <v>303</v>
      </c>
      <c r="Q16" s="20" t="s">
        <v>33</v>
      </c>
      <c r="R16" s="20" t="s">
        <v>303</v>
      </c>
      <c r="S16" s="20" t="s">
        <v>303</v>
      </c>
      <c r="T16" s="20" t="s">
        <v>303</v>
      </c>
      <c r="U16" s="20" t="s">
        <v>303</v>
      </c>
      <c r="V16" s="20" t="s">
        <v>303</v>
      </c>
      <c r="W16" s="20" t="s">
        <v>303</v>
      </c>
      <c r="X16" s="20" t="s">
        <v>303</v>
      </c>
      <c r="Y16" s="20" t="s">
        <v>303</v>
      </c>
      <c r="Z16" s="20" t="s">
        <v>303</v>
      </c>
      <c r="AA16" s="20" t="s">
        <v>303</v>
      </c>
      <c r="AB16" s="20" t="s">
        <v>303</v>
      </c>
      <c r="AC16" s="20" t="s">
        <v>303</v>
      </c>
      <c r="AD16" s="9" t="s">
        <v>303</v>
      </c>
      <c r="AE16" s="9" t="s">
        <v>34</v>
      </c>
      <c r="AF16" s="56" t="s">
        <v>34</v>
      </c>
      <c r="AG16" s="115"/>
      <c r="AH16" s="94"/>
      <c r="AI16" s="102"/>
      <c r="AJ16" s="96"/>
      <c r="AK16" s="104"/>
      <c r="AL16" s="106"/>
      <c r="AM16" s="99"/>
      <c r="AN16" s="108"/>
      <c r="AO16" s="110"/>
    </row>
    <row r="17" spans="1:41" ht="15" customHeight="1">
      <c r="A17" s="116" t="s">
        <v>48</v>
      </c>
      <c r="B17" s="16" t="s">
        <v>49</v>
      </c>
      <c r="C17" s="18" t="s">
        <v>33</v>
      </c>
      <c r="D17" s="18" t="s">
        <v>33</v>
      </c>
      <c r="E17" s="18" t="s">
        <v>33</v>
      </c>
      <c r="F17" s="18" t="s">
        <v>33</v>
      </c>
      <c r="G17" s="18" t="s">
        <v>33</v>
      </c>
      <c r="H17" s="18" t="s">
        <v>33</v>
      </c>
      <c r="I17" s="18" t="s">
        <v>33</v>
      </c>
      <c r="J17" s="18" t="s">
        <v>33</v>
      </c>
      <c r="K17" s="18" t="s">
        <v>33</v>
      </c>
      <c r="L17" s="18" t="s">
        <v>33</v>
      </c>
      <c r="M17" s="18" t="s">
        <v>33</v>
      </c>
      <c r="N17" s="18" t="s">
        <v>33</v>
      </c>
      <c r="O17" s="18" t="s">
        <v>33</v>
      </c>
      <c r="P17" s="18" t="s">
        <v>33</v>
      </c>
      <c r="Q17" s="18" t="s">
        <v>33</v>
      </c>
      <c r="R17" s="18" t="s">
        <v>33</v>
      </c>
      <c r="S17" s="18" t="s">
        <v>33</v>
      </c>
      <c r="T17" s="18" t="s">
        <v>33</v>
      </c>
      <c r="U17" s="18" t="s">
        <v>33</v>
      </c>
      <c r="V17" s="18" t="s">
        <v>33</v>
      </c>
      <c r="W17" s="18" t="s">
        <v>33</v>
      </c>
      <c r="X17" s="18" t="s">
        <v>33</v>
      </c>
      <c r="Y17" s="18" t="s">
        <v>33</v>
      </c>
      <c r="Z17" s="18" t="s">
        <v>33</v>
      </c>
      <c r="AA17" s="18" t="s">
        <v>33</v>
      </c>
      <c r="AB17" s="18" t="s">
        <v>33</v>
      </c>
      <c r="AC17" s="18" t="s">
        <v>33</v>
      </c>
      <c r="AD17" s="18" t="s">
        <v>33</v>
      </c>
      <c r="AE17" s="18" t="s">
        <v>33</v>
      </c>
      <c r="AF17" s="55" t="s">
        <v>33</v>
      </c>
      <c r="AG17" s="91" t="s">
        <v>359</v>
      </c>
      <c r="AH17" s="93" t="s">
        <v>360</v>
      </c>
      <c r="AI17" s="101" t="s">
        <v>361</v>
      </c>
      <c r="AJ17" s="95" t="s">
        <v>362</v>
      </c>
      <c r="AK17" s="103" t="s">
        <v>363</v>
      </c>
      <c r="AL17" s="105" t="s">
        <v>364</v>
      </c>
      <c r="AM17" s="98" t="s">
        <v>365</v>
      </c>
      <c r="AN17" s="107" t="s">
        <v>366</v>
      </c>
      <c r="AO17" s="109" t="s">
        <v>367</v>
      </c>
    </row>
    <row r="18" spans="1:41">
      <c r="A18" s="117"/>
      <c r="B18" s="2" t="s">
        <v>50</v>
      </c>
      <c r="C18" s="9" t="s">
        <v>33</v>
      </c>
      <c r="D18" s="9" t="s">
        <v>33</v>
      </c>
      <c r="E18" s="9" t="s">
        <v>33</v>
      </c>
      <c r="F18" s="9" t="s">
        <v>33</v>
      </c>
      <c r="G18" s="9" t="s">
        <v>33</v>
      </c>
      <c r="H18" s="9" t="s">
        <v>33</v>
      </c>
      <c r="I18" s="9" t="s">
        <v>33</v>
      </c>
      <c r="J18" s="9" t="s">
        <v>33</v>
      </c>
      <c r="K18" s="9" t="s">
        <v>33</v>
      </c>
      <c r="L18" s="9" t="s">
        <v>33</v>
      </c>
      <c r="M18" s="9" t="s">
        <v>33</v>
      </c>
      <c r="N18" s="9" t="s">
        <v>33</v>
      </c>
      <c r="O18" s="9" t="s">
        <v>33</v>
      </c>
      <c r="P18" s="9" t="s">
        <v>33</v>
      </c>
      <c r="Q18" s="9" t="s">
        <v>33</v>
      </c>
      <c r="R18" s="9" t="s">
        <v>33</v>
      </c>
      <c r="S18" s="9" t="s">
        <v>33</v>
      </c>
      <c r="T18" s="9" t="s">
        <v>33</v>
      </c>
      <c r="U18" s="9" t="s">
        <v>33</v>
      </c>
      <c r="V18" s="9" t="s">
        <v>33</v>
      </c>
      <c r="W18" s="9" t="s">
        <v>33</v>
      </c>
      <c r="X18" s="9" t="s">
        <v>33</v>
      </c>
      <c r="Y18" s="9" t="s">
        <v>33</v>
      </c>
      <c r="Z18" s="9" t="s">
        <v>33</v>
      </c>
      <c r="AA18" s="9" t="s">
        <v>33</v>
      </c>
      <c r="AB18" s="9" t="s">
        <v>33</v>
      </c>
      <c r="AC18" s="9" t="s">
        <v>33</v>
      </c>
      <c r="AD18" s="9" t="s">
        <v>33</v>
      </c>
      <c r="AE18" s="9" t="s">
        <v>33</v>
      </c>
      <c r="AF18" s="56" t="s">
        <v>303</v>
      </c>
      <c r="AG18" s="92"/>
      <c r="AH18" s="94"/>
      <c r="AI18" s="102"/>
      <c r="AJ18" s="96"/>
      <c r="AK18" s="104"/>
      <c r="AL18" s="106"/>
      <c r="AM18" s="99"/>
      <c r="AN18" s="108"/>
      <c r="AO18" s="110"/>
    </row>
    <row r="19" spans="1:41">
      <c r="A19" s="117"/>
      <c r="B19" s="2" t="s">
        <v>51</v>
      </c>
      <c r="C19" s="9" t="s">
        <v>33</v>
      </c>
      <c r="D19" s="9" t="s">
        <v>33</v>
      </c>
      <c r="E19" s="9" t="s">
        <v>33</v>
      </c>
      <c r="F19" s="9" t="s">
        <v>33</v>
      </c>
      <c r="G19" s="9" t="s">
        <v>33</v>
      </c>
      <c r="H19" s="9" t="s">
        <v>33</v>
      </c>
      <c r="I19" s="9" t="s">
        <v>33</v>
      </c>
      <c r="J19" s="9" t="s">
        <v>33</v>
      </c>
      <c r="K19" s="9" t="s">
        <v>33</v>
      </c>
      <c r="L19" s="9" t="s">
        <v>33</v>
      </c>
      <c r="M19" s="9" t="s">
        <v>33</v>
      </c>
      <c r="N19" s="9" t="s">
        <v>33</v>
      </c>
      <c r="O19" s="9" t="s">
        <v>33</v>
      </c>
      <c r="P19" s="9" t="s">
        <v>33</v>
      </c>
      <c r="Q19" s="9" t="s">
        <v>33</v>
      </c>
      <c r="R19" s="9" t="s">
        <v>33</v>
      </c>
      <c r="S19" s="9" t="s">
        <v>33</v>
      </c>
      <c r="T19" s="9" t="s">
        <v>33</v>
      </c>
      <c r="U19" s="9" t="s">
        <v>33</v>
      </c>
      <c r="V19" s="9" t="s">
        <v>33</v>
      </c>
      <c r="W19" s="9" t="s">
        <v>33</v>
      </c>
      <c r="X19" s="9" t="s">
        <v>33</v>
      </c>
      <c r="Y19" s="9" t="s">
        <v>33</v>
      </c>
      <c r="Z19" s="9" t="s">
        <v>33</v>
      </c>
      <c r="AA19" s="9" t="s">
        <v>33</v>
      </c>
      <c r="AB19" s="9" t="s">
        <v>33</v>
      </c>
      <c r="AC19" s="9" t="s">
        <v>33</v>
      </c>
      <c r="AD19" s="9" t="s">
        <v>33</v>
      </c>
      <c r="AE19" s="9" t="s">
        <v>303</v>
      </c>
      <c r="AF19" s="56" t="s">
        <v>303</v>
      </c>
      <c r="AG19" s="92"/>
      <c r="AH19" s="94"/>
      <c r="AI19" s="102"/>
      <c r="AJ19" s="96"/>
      <c r="AK19" s="104"/>
      <c r="AL19" s="106"/>
      <c r="AM19" s="99"/>
      <c r="AN19" s="108"/>
      <c r="AO19" s="110"/>
    </row>
    <row r="20" spans="1:41">
      <c r="A20" s="117"/>
      <c r="B20" s="2" t="s">
        <v>52</v>
      </c>
      <c r="C20" s="9" t="s">
        <v>33</v>
      </c>
      <c r="D20" s="9" t="s">
        <v>33</v>
      </c>
      <c r="E20" s="9" t="s">
        <v>33</v>
      </c>
      <c r="F20" s="9" t="s">
        <v>33</v>
      </c>
      <c r="G20" s="9" t="s">
        <v>33</v>
      </c>
      <c r="H20" s="9" t="s">
        <v>33</v>
      </c>
      <c r="I20" s="9" t="s">
        <v>33</v>
      </c>
      <c r="J20" s="9" t="s">
        <v>33</v>
      </c>
      <c r="K20" s="9" t="s">
        <v>33</v>
      </c>
      <c r="L20" s="9" t="s">
        <v>33</v>
      </c>
      <c r="M20" s="9" t="s">
        <v>33</v>
      </c>
      <c r="N20" s="9" t="s">
        <v>33</v>
      </c>
      <c r="O20" s="9" t="s">
        <v>33</v>
      </c>
      <c r="P20" s="9" t="s">
        <v>33</v>
      </c>
      <c r="Q20" s="9" t="s">
        <v>33</v>
      </c>
      <c r="R20" s="9" t="s">
        <v>33</v>
      </c>
      <c r="S20" s="9" t="s">
        <v>33</v>
      </c>
      <c r="T20" s="9" t="s">
        <v>33</v>
      </c>
      <c r="U20" s="9" t="s">
        <v>33</v>
      </c>
      <c r="V20" s="9" t="s">
        <v>33</v>
      </c>
      <c r="W20" s="9" t="s">
        <v>33</v>
      </c>
      <c r="X20" s="9" t="s">
        <v>33</v>
      </c>
      <c r="Y20" s="9" t="s">
        <v>33</v>
      </c>
      <c r="Z20" s="9" t="s">
        <v>33</v>
      </c>
      <c r="AA20" s="9" t="s">
        <v>33</v>
      </c>
      <c r="AB20" s="9" t="s">
        <v>33</v>
      </c>
      <c r="AC20" s="9" t="s">
        <v>33</v>
      </c>
      <c r="AD20" s="9" t="s">
        <v>303</v>
      </c>
      <c r="AE20" s="9" t="s">
        <v>303</v>
      </c>
      <c r="AF20" s="56" t="s">
        <v>34</v>
      </c>
      <c r="AG20" s="87"/>
      <c r="AH20" s="94"/>
      <c r="AI20" s="102"/>
      <c r="AJ20" s="96"/>
      <c r="AK20" s="104"/>
      <c r="AL20" s="106"/>
      <c r="AM20" s="99"/>
      <c r="AN20" s="108"/>
      <c r="AO20" s="110"/>
    </row>
    <row r="21" spans="1:41">
      <c r="A21" s="117"/>
      <c r="B21" s="2" t="s">
        <v>53</v>
      </c>
      <c r="C21" s="9" t="s">
        <v>33</v>
      </c>
      <c r="D21" s="9" t="s">
        <v>33</v>
      </c>
      <c r="E21" s="9" t="s">
        <v>33</v>
      </c>
      <c r="F21" s="9" t="s">
        <v>33</v>
      </c>
      <c r="G21" s="9" t="s">
        <v>33</v>
      </c>
      <c r="H21" s="9" t="s">
        <v>33</v>
      </c>
      <c r="I21" s="9" t="s">
        <v>33</v>
      </c>
      <c r="J21" s="9" t="s">
        <v>33</v>
      </c>
      <c r="K21" s="9" t="s">
        <v>33</v>
      </c>
      <c r="L21" s="9" t="s">
        <v>33</v>
      </c>
      <c r="M21" s="9" t="s">
        <v>33</v>
      </c>
      <c r="N21" s="9" t="s">
        <v>33</v>
      </c>
      <c r="O21" s="9" t="s">
        <v>33</v>
      </c>
      <c r="P21" s="9" t="s">
        <v>33</v>
      </c>
      <c r="Q21" s="9" t="s">
        <v>33</v>
      </c>
      <c r="R21" s="9" t="s">
        <v>33</v>
      </c>
      <c r="S21" s="9" t="s">
        <v>33</v>
      </c>
      <c r="T21" s="9" t="s">
        <v>33</v>
      </c>
      <c r="U21" s="9" t="s">
        <v>33</v>
      </c>
      <c r="V21" s="9" t="s">
        <v>33</v>
      </c>
      <c r="W21" s="9" t="s">
        <v>33</v>
      </c>
      <c r="X21" s="9" t="s">
        <v>33</v>
      </c>
      <c r="Y21" s="9" t="s">
        <v>33</v>
      </c>
      <c r="Z21" s="9" t="s">
        <v>33</v>
      </c>
      <c r="AA21" s="9" t="s">
        <v>33</v>
      </c>
      <c r="AB21" s="9" t="s">
        <v>33</v>
      </c>
      <c r="AC21" s="9" t="s">
        <v>33</v>
      </c>
      <c r="AD21" s="9" t="s">
        <v>303</v>
      </c>
      <c r="AE21" s="9" t="s">
        <v>34</v>
      </c>
      <c r="AF21" s="56" t="s">
        <v>34</v>
      </c>
      <c r="AG21" s="87"/>
      <c r="AH21" s="49"/>
      <c r="AI21" s="102"/>
      <c r="AJ21" s="96"/>
      <c r="AK21" s="104"/>
      <c r="AL21" s="106"/>
      <c r="AM21" s="99"/>
      <c r="AN21" s="108"/>
      <c r="AO21" s="110"/>
    </row>
    <row r="22" spans="1:41">
      <c r="A22" s="117"/>
      <c r="B22" s="2" t="s">
        <v>54</v>
      </c>
      <c r="C22" s="9" t="s">
        <v>33</v>
      </c>
      <c r="D22" s="9" t="s">
        <v>33</v>
      </c>
      <c r="E22" s="9" t="s">
        <v>33</v>
      </c>
      <c r="F22" s="9" t="s">
        <v>33</v>
      </c>
      <c r="G22" s="9" t="s">
        <v>33</v>
      </c>
      <c r="H22" s="9" t="s">
        <v>33</v>
      </c>
      <c r="I22" s="9" t="s">
        <v>33</v>
      </c>
      <c r="J22" s="9" t="s">
        <v>33</v>
      </c>
      <c r="K22" s="9" t="s">
        <v>33</v>
      </c>
      <c r="L22" s="9" t="s">
        <v>33</v>
      </c>
      <c r="M22" s="9" t="s">
        <v>33</v>
      </c>
      <c r="N22" s="9" t="s">
        <v>33</v>
      </c>
      <c r="O22" s="9" t="s">
        <v>33</v>
      </c>
      <c r="P22" s="9" t="s">
        <v>33</v>
      </c>
      <c r="Q22" s="9" t="s">
        <v>33</v>
      </c>
      <c r="R22" s="9" t="s">
        <v>33</v>
      </c>
      <c r="S22" s="9" t="s">
        <v>303</v>
      </c>
      <c r="T22" s="9" t="s">
        <v>303</v>
      </c>
      <c r="U22" s="9" t="s">
        <v>33</v>
      </c>
      <c r="V22" s="9" t="s">
        <v>33</v>
      </c>
      <c r="W22" s="9" t="s">
        <v>33</v>
      </c>
      <c r="X22" s="9" t="s">
        <v>303</v>
      </c>
      <c r="Y22" s="9" t="s">
        <v>33</v>
      </c>
      <c r="Z22" s="9" t="s">
        <v>303</v>
      </c>
      <c r="AA22" s="9" t="s">
        <v>33</v>
      </c>
      <c r="AB22" s="9" t="s">
        <v>33</v>
      </c>
      <c r="AC22" s="9" t="s">
        <v>303</v>
      </c>
      <c r="AD22" s="9" t="s">
        <v>303</v>
      </c>
      <c r="AE22" s="9" t="s">
        <v>34</v>
      </c>
      <c r="AF22" s="56" t="s">
        <v>34</v>
      </c>
      <c r="AG22" s="87"/>
      <c r="AH22" s="49"/>
      <c r="AI22" s="102"/>
      <c r="AJ22" s="96"/>
      <c r="AK22" s="104"/>
      <c r="AL22" s="106"/>
      <c r="AM22" s="99"/>
      <c r="AN22" s="108"/>
      <c r="AO22" s="110"/>
    </row>
    <row r="23" spans="1:41">
      <c r="A23" s="117"/>
      <c r="B23" s="2" t="s">
        <v>55</v>
      </c>
      <c r="C23" s="9" t="s">
        <v>33</v>
      </c>
      <c r="D23" s="9" t="s">
        <v>33</v>
      </c>
      <c r="E23" s="9" t="s">
        <v>33</v>
      </c>
      <c r="F23" s="9" t="s">
        <v>33</v>
      </c>
      <c r="G23" s="9" t="s">
        <v>33</v>
      </c>
      <c r="H23" s="9" t="s">
        <v>303</v>
      </c>
      <c r="I23" s="9" t="s">
        <v>33</v>
      </c>
      <c r="J23" s="9" t="s">
        <v>33</v>
      </c>
      <c r="K23" s="9" t="s">
        <v>33</v>
      </c>
      <c r="L23" s="9" t="s">
        <v>33</v>
      </c>
      <c r="M23" s="9" t="s">
        <v>33</v>
      </c>
      <c r="N23" s="9" t="s">
        <v>33</v>
      </c>
      <c r="O23" s="9" t="s">
        <v>303</v>
      </c>
      <c r="P23" s="9" t="s">
        <v>303</v>
      </c>
      <c r="Q23" s="9" t="s">
        <v>303</v>
      </c>
      <c r="R23" s="9" t="s">
        <v>303</v>
      </c>
      <c r="S23" s="9" t="s">
        <v>303</v>
      </c>
      <c r="T23" s="9" t="s">
        <v>303</v>
      </c>
      <c r="U23" s="9" t="s">
        <v>303</v>
      </c>
      <c r="V23" s="9" t="s">
        <v>303</v>
      </c>
      <c r="W23" s="9" t="s">
        <v>303</v>
      </c>
      <c r="X23" s="9" t="s">
        <v>303</v>
      </c>
      <c r="Y23" s="9" t="s">
        <v>303</v>
      </c>
      <c r="Z23" s="9" t="s">
        <v>303</v>
      </c>
      <c r="AA23" s="9" t="s">
        <v>303</v>
      </c>
      <c r="AB23" s="9" t="s">
        <v>303</v>
      </c>
      <c r="AC23" s="9" t="s">
        <v>303</v>
      </c>
      <c r="AD23" s="9" t="s">
        <v>34</v>
      </c>
      <c r="AE23" s="9" t="s">
        <v>34</v>
      </c>
      <c r="AF23" s="56" t="s">
        <v>34</v>
      </c>
      <c r="AG23" s="87"/>
      <c r="AH23" s="49"/>
      <c r="AI23" s="102"/>
      <c r="AJ23" s="96"/>
      <c r="AK23" s="104"/>
      <c r="AL23" s="106"/>
      <c r="AM23" s="99"/>
      <c r="AN23" s="108"/>
      <c r="AO23" s="110"/>
    </row>
    <row r="24" spans="1:41">
      <c r="A24" s="117"/>
      <c r="B24" s="2" t="s">
        <v>56</v>
      </c>
      <c r="C24" s="9" t="s">
        <v>33</v>
      </c>
      <c r="D24" s="9" t="s">
        <v>33</v>
      </c>
      <c r="E24" s="9" t="s">
        <v>33</v>
      </c>
      <c r="F24" s="9" t="s">
        <v>33</v>
      </c>
      <c r="G24" s="9" t="s">
        <v>33</v>
      </c>
      <c r="H24" s="9" t="s">
        <v>33</v>
      </c>
      <c r="I24" s="9" t="s">
        <v>33</v>
      </c>
      <c r="J24" s="9" t="s">
        <v>33</v>
      </c>
      <c r="K24" s="9" t="s">
        <v>33</v>
      </c>
      <c r="L24" s="9" t="s">
        <v>33</v>
      </c>
      <c r="M24" s="9" t="s">
        <v>33</v>
      </c>
      <c r="N24" s="9" t="s">
        <v>33</v>
      </c>
      <c r="O24" s="9" t="s">
        <v>303</v>
      </c>
      <c r="P24" s="9" t="s">
        <v>303</v>
      </c>
      <c r="Q24" s="9" t="s">
        <v>303</v>
      </c>
      <c r="R24" s="9" t="s">
        <v>303</v>
      </c>
      <c r="S24" s="9" t="s">
        <v>303</v>
      </c>
      <c r="T24" s="9" t="s">
        <v>303</v>
      </c>
      <c r="U24" s="9" t="s">
        <v>303</v>
      </c>
      <c r="V24" s="9" t="s">
        <v>303</v>
      </c>
      <c r="W24" s="9" t="s">
        <v>303</v>
      </c>
      <c r="X24" s="9" t="s">
        <v>303</v>
      </c>
      <c r="Y24" s="9" t="s">
        <v>303</v>
      </c>
      <c r="Z24" s="9" t="s">
        <v>303</v>
      </c>
      <c r="AA24" s="9" t="s">
        <v>303</v>
      </c>
      <c r="AB24" s="9" t="s">
        <v>303</v>
      </c>
      <c r="AC24" s="9" t="s">
        <v>303</v>
      </c>
      <c r="AD24" s="9" t="s">
        <v>303</v>
      </c>
      <c r="AE24" s="9" t="s">
        <v>34</v>
      </c>
      <c r="AF24" s="56" t="s">
        <v>34</v>
      </c>
      <c r="AG24" s="87"/>
      <c r="AH24" s="49"/>
      <c r="AI24" s="102"/>
      <c r="AJ24" s="96"/>
      <c r="AK24" s="104"/>
      <c r="AL24" s="106"/>
      <c r="AM24" s="99"/>
      <c r="AN24" s="108"/>
      <c r="AO24" s="110"/>
    </row>
    <row r="25" spans="1:41">
      <c r="A25" s="117"/>
      <c r="B25" s="2" t="s">
        <v>57</v>
      </c>
      <c r="C25" s="9" t="s">
        <v>33</v>
      </c>
      <c r="D25" s="9" t="s">
        <v>33</v>
      </c>
      <c r="E25" s="9" t="s">
        <v>33</v>
      </c>
      <c r="F25" s="9" t="s">
        <v>33</v>
      </c>
      <c r="G25" s="9" t="s">
        <v>33</v>
      </c>
      <c r="H25" s="9" t="s">
        <v>303</v>
      </c>
      <c r="I25" s="9" t="s">
        <v>33</v>
      </c>
      <c r="J25" s="9" t="s">
        <v>33</v>
      </c>
      <c r="K25" s="9" t="s">
        <v>33</v>
      </c>
      <c r="L25" s="9" t="s">
        <v>33</v>
      </c>
      <c r="M25" s="9" t="s">
        <v>303</v>
      </c>
      <c r="N25" s="9" t="s">
        <v>303</v>
      </c>
      <c r="O25" s="9" t="s">
        <v>303</v>
      </c>
      <c r="P25" s="9" t="s">
        <v>303</v>
      </c>
      <c r="Q25" s="9" t="s">
        <v>303</v>
      </c>
      <c r="R25" s="9" t="s">
        <v>34</v>
      </c>
      <c r="S25" s="9" t="s">
        <v>34</v>
      </c>
      <c r="T25" s="9" t="s">
        <v>34</v>
      </c>
      <c r="U25" s="9" t="s">
        <v>34</v>
      </c>
      <c r="V25" s="9" t="s">
        <v>34</v>
      </c>
      <c r="W25" s="9" t="s">
        <v>34</v>
      </c>
      <c r="X25" s="9" t="s">
        <v>34</v>
      </c>
      <c r="Y25" s="9" t="s">
        <v>303</v>
      </c>
      <c r="Z25" s="9" t="s">
        <v>34</v>
      </c>
      <c r="AA25" s="9" t="s">
        <v>34</v>
      </c>
      <c r="AB25" s="9" t="s">
        <v>34</v>
      </c>
      <c r="AC25" s="9" t="s">
        <v>34</v>
      </c>
      <c r="AD25" s="9" t="s">
        <v>34</v>
      </c>
      <c r="AE25" s="9" t="s">
        <v>34</v>
      </c>
      <c r="AF25" s="56" t="s">
        <v>34</v>
      </c>
      <c r="AG25" s="87"/>
      <c r="AH25" s="49"/>
      <c r="AI25" s="49"/>
      <c r="AJ25" s="96"/>
      <c r="AK25" s="104"/>
      <c r="AL25" s="106"/>
      <c r="AM25" s="99"/>
      <c r="AN25" s="108"/>
      <c r="AO25" s="110"/>
    </row>
    <row r="26" spans="1:41">
      <c r="A26" s="117"/>
      <c r="B26" s="2" t="s">
        <v>58</v>
      </c>
      <c r="C26" s="9" t="s">
        <v>33</v>
      </c>
      <c r="D26" s="9" t="s">
        <v>33</v>
      </c>
      <c r="E26" s="9" t="s">
        <v>33</v>
      </c>
      <c r="F26" s="9" t="s">
        <v>33</v>
      </c>
      <c r="G26" s="9" t="s">
        <v>33</v>
      </c>
      <c r="H26" s="9" t="s">
        <v>303</v>
      </c>
      <c r="I26" s="9" t="s">
        <v>303</v>
      </c>
      <c r="J26" s="9" t="s">
        <v>303</v>
      </c>
      <c r="K26" s="9" t="s">
        <v>33</v>
      </c>
      <c r="L26" s="9" t="s">
        <v>33</v>
      </c>
      <c r="M26" s="9" t="s">
        <v>303</v>
      </c>
      <c r="N26" s="9" t="s">
        <v>303</v>
      </c>
      <c r="O26" s="9" t="s">
        <v>34</v>
      </c>
      <c r="P26" s="9" t="s">
        <v>303</v>
      </c>
      <c r="Q26" s="9" t="s">
        <v>34</v>
      </c>
      <c r="R26" s="9" t="s">
        <v>34</v>
      </c>
      <c r="S26" s="9" t="s">
        <v>34</v>
      </c>
      <c r="T26" s="9" t="s">
        <v>34</v>
      </c>
      <c r="U26" s="9" t="s">
        <v>34</v>
      </c>
      <c r="V26" s="9" t="s">
        <v>34</v>
      </c>
      <c r="W26" s="9" t="s">
        <v>34</v>
      </c>
      <c r="X26" s="9" t="s">
        <v>34</v>
      </c>
      <c r="Y26" s="9" t="s">
        <v>34</v>
      </c>
      <c r="Z26" s="9" t="s">
        <v>34</v>
      </c>
      <c r="AA26" s="9" t="s">
        <v>34</v>
      </c>
      <c r="AB26" s="9" t="s">
        <v>34</v>
      </c>
      <c r="AC26" s="9" t="s">
        <v>34</v>
      </c>
      <c r="AD26" s="9" t="s">
        <v>34</v>
      </c>
      <c r="AE26" s="9" t="s">
        <v>34</v>
      </c>
      <c r="AF26" s="56" t="s">
        <v>34</v>
      </c>
      <c r="AG26" s="87"/>
      <c r="AH26" s="49"/>
      <c r="AI26" s="49"/>
      <c r="AJ26" s="49"/>
      <c r="AK26" s="104"/>
      <c r="AL26" s="106"/>
      <c r="AM26" s="99"/>
      <c r="AN26" s="108"/>
      <c r="AO26" s="110"/>
    </row>
    <row r="27" spans="1:41" ht="15.75" customHeight="1" thickBot="1">
      <c r="A27" s="119"/>
      <c r="B27" s="19" t="s">
        <v>59</v>
      </c>
      <c r="C27" s="20" t="s">
        <v>33</v>
      </c>
      <c r="D27" s="20" t="s">
        <v>33</v>
      </c>
      <c r="E27" s="20" t="s">
        <v>33</v>
      </c>
      <c r="F27" s="20" t="s">
        <v>303</v>
      </c>
      <c r="G27" s="20" t="s">
        <v>303</v>
      </c>
      <c r="H27" s="20" t="s">
        <v>34</v>
      </c>
      <c r="I27" s="20" t="s">
        <v>34</v>
      </c>
      <c r="J27" s="20" t="s">
        <v>34</v>
      </c>
      <c r="K27" s="20" t="s">
        <v>34</v>
      </c>
      <c r="L27" s="20" t="s">
        <v>34</v>
      </c>
      <c r="M27" s="20" t="s">
        <v>34</v>
      </c>
      <c r="N27" s="20" t="s">
        <v>34</v>
      </c>
      <c r="O27" s="20" t="s">
        <v>34</v>
      </c>
      <c r="P27" s="20" t="s">
        <v>34</v>
      </c>
      <c r="Q27" s="20" t="s">
        <v>34</v>
      </c>
      <c r="R27" s="20" t="s">
        <v>34</v>
      </c>
      <c r="S27" s="20" t="s">
        <v>34</v>
      </c>
      <c r="T27" s="20" t="s">
        <v>34</v>
      </c>
      <c r="U27" s="20" t="s">
        <v>34</v>
      </c>
      <c r="V27" s="20" t="s">
        <v>34</v>
      </c>
      <c r="W27" s="20" t="s">
        <v>34</v>
      </c>
      <c r="X27" s="20" t="s">
        <v>34</v>
      </c>
      <c r="Y27" s="20" t="s">
        <v>34</v>
      </c>
      <c r="Z27" s="20" t="s">
        <v>34</v>
      </c>
      <c r="AA27" s="20" t="s">
        <v>34</v>
      </c>
      <c r="AB27" s="20" t="s">
        <v>34</v>
      </c>
      <c r="AC27" s="20" t="s">
        <v>34</v>
      </c>
      <c r="AD27" s="20" t="s">
        <v>34</v>
      </c>
      <c r="AE27" s="20" t="s">
        <v>34</v>
      </c>
      <c r="AF27" s="57" t="s">
        <v>34</v>
      </c>
      <c r="AG27" s="88"/>
      <c r="AH27" s="49"/>
      <c r="AI27" s="49"/>
      <c r="AJ27" s="49"/>
      <c r="AK27" s="49"/>
      <c r="AL27" s="49"/>
      <c r="AM27" s="49"/>
      <c r="AN27" s="108"/>
      <c r="AO27" s="110"/>
    </row>
    <row r="28" spans="1:41" ht="15" customHeight="1">
      <c r="A28" s="116" t="s">
        <v>60</v>
      </c>
      <c r="B28" s="16" t="s">
        <v>61</v>
      </c>
      <c r="C28" s="18" t="s">
        <v>33</v>
      </c>
      <c r="D28" s="18" t="s">
        <v>33</v>
      </c>
      <c r="E28" s="18" t="s">
        <v>33</v>
      </c>
      <c r="F28" s="18" t="s">
        <v>33</v>
      </c>
      <c r="G28" s="18" t="s">
        <v>33</v>
      </c>
      <c r="H28" s="18" t="s">
        <v>33</v>
      </c>
      <c r="I28" s="18" t="s">
        <v>33</v>
      </c>
      <c r="J28" s="18" t="s">
        <v>33</v>
      </c>
      <c r="K28" s="18" t="s">
        <v>33</v>
      </c>
      <c r="L28" s="18" t="s">
        <v>33</v>
      </c>
      <c r="M28" s="18" t="s">
        <v>33</v>
      </c>
      <c r="N28" s="18" t="s">
        <v>33</v>
      </c>
      <c r="O28" s="18" t="s">
        <v>33</v>
      </c>
      <c r="P28" s="18" t="s">
        <v>33</v>
      </c>
      <c r="Q28" s="18" t="s">
        <v>33</v>
      </c>
      <c r="R28" s="18" t="s">
        <v>33</v>
      </c>
      <c r="S28" s="18" t="s">
        <v>33</v>
      </c>
      <c r="T28" s="18" t="s">
        <v>33</v>
      </c>
      <c r="U28" s="18" t="s">
        <v>33</v>
      </c>
      <c r="V28" s="18" t="s">
        <v>33</v>
      </c>
      <c r="W28" s="18" t="s">
        <v>33</v>
      </c>
      <c r="X28" s="18" t="s">
        <v>33</v>
      </c>
      <c r="Y28" s="18" t="s">
        <v>33</v>
      </c>
      <c r="Z28" s="18" t="s">
        <v>33</v>
      </c>
      <c r="AA28" s="18" t="s">
        <v>33</v>
      </c>
      <c r="AB28" s="18" t="s">
        <v>33</v>
      </c>
      <c r="AC28" s="18" t="s">
        <v>33</v>
      </c>
      <c r="AD28" s="18" t="s">
        <v>33</v>
      </c>
      <c r="AE28" s="18" t="s">
        <v>33</v>
      </c>
      <c r="AF28" s="55" t="s">
        <v>33</v>
      </c>
      <c r="AG28" s="91" t="s">
        <v>359</v>
      </c>
      <c r="AH28" s="93" t="s">
        <v>360</v>
      </c>
      <c r="AI28" s="101" t="s">
        <v>361</v>
      </c>
      <c r="AJ28" s="95" t="s">
        <v>362</v>
      </c>
      <c r="AK28" s="103" t="s">
        <v>363</v>
      </c>
      <c r="AL28" s="105" t="s">
        <v>364</v>
      </c>
      <c r="AM28" s="98" t="s">
        <v>365</v>
      </c>
      <c r="AN28" s="107" t="s">
        <v>366</v>
      </c>
      <c r="AO28" s="109" t="s">
        <v>367</v>
      </c>
    </row>
    <row r="29" spans="1:41">
      <c r="A29" s="117"/>
      <c r="B29" s="2" t="s">
        <v>62</v>
      </c>
      <c r="C29" s="9" t="s">
        <v>33</v>
      </c>
      <c r="D29" s="9" t="s">
        <v>33</v>
      </c>
      <c r="E29" s="9" t="s">
        <v>33</v>
      </c>
      <c r="F29" s="9" t="s">
        <v>33</v>
      </c>
      <c r="G29" s="9" t="s">
        <v>33</v>
      </c>
      <c r="H29" s="9" t="s">
        <v>33</v>
      </c>
      <c r="I29" s="9" t="s">
        <v>33</v>
      </c>
      <c r="J29" s="9" t="s">
        <v>33</v>
      </c>
      <c r="K29" s="9" t="s">
        <v>33</v>
      </c>
      <c r="L29" s="9" t="s">
        <v>33</v>
      </c>
      <c r="M29" s="9" t="s">
        <v>33</v>
      </c>
      <c r="N29" s="9" t="s">
        <v>33</v>
      </c>
      <c r="O29" s="9" t="s">
        <v>33</v>
      </c>
      <c r="P29" s="9" t="s">
        <v>33</v>
      </c>
      <c r="Q29" s="9" t="s">
        <v>33</v>
      </c>
      <c r="R29" s="9" t="s">
        <v>33</v>
      </c>
      <c r="S29" s="9" t="s">
        <v>33</v>
      </c>
      <c r="T29" s="9" t="s">
        <v>33</v>
      </c>
      <c r="U29" s="9" t="s">
        <v>33</v>
      </c>
      <c r="V29" s="9" t="s">
        <v>33</v>
      </c>
      <c r="W29" s="9" t="s">
        <v>33</v>
      </c>
      <c r="X29" s="9" t="s">
        <v>33</v>
      </c>
      <c r="Y29" s="9" t="s">
        <v>33</v>
      </c>
      <c r="Z29" s="9" t="s">
        <v>33</v>
      </c>
      <c r="AA29" s="9" t="s">
        <v>33</v>
      </c>
      <c r="AB29" s="9" t="s">
        <v>33</v>
      </c>
      <c r="AC29" s="9" t="s">
        <v>33</v>
      </c>
      <c r="AD29" s="9" t="s">
        <v>303</v>
      </c>
      <c r="AE29" s="9" t="s">
        <v>303</v>
      </c>
      <c r="AF29" s="56" t="s">
        <v>303</v>
      </c>
      <c r="AG29" s="92"/>
      <c r="AH29" s="94"/>
      <c r="AI29" s="102"/>
      <c r="AJ29" s="96"/>
      <c r="AK29" s="104"/>
      <c r="AL29" s="106"/>
      <c r="AM29" s="99"/>
      <c r="AN29" s="108"/>
      <c r="AO29" s="110"/>
    </row>
    <row r="30" spans="1:41">
      <c r="A30" s="117"/>
      <c r="B30" s="2" t="s">
        <v>63</v>
      </c>
      <c r="C30" s="9" t="s">
        <v>33</v>
      </c>
      <c r="D30" s="9" t="s">
        <v>33</v>
      </c>
      <c r="E30" s="9" t="s">
        <v>33</v>
      </c>
      <c r="F30" s="9" t="s">
        <v>33</v>
      </c>
      <c r="G30" s="9" t="s">
        <v>33</v>
      </c>
      <c r="H30" s="9" t="s">
        <v>33</v>
      </c>
      <c r="I30" s="9" t="s">
        <v>33</v>
      </c>
      <c r="J30" s="9" t="s">
        <v>33</v>
      </c>
      <c r="K30" s="9" t="s">
        <v>33</v>
      </c>
      <c r="L30" s="9" t="s">
        <v>33</v>
      </c>
      <c r="M30" s="9" t="s">
        <v>33</v>
      </c>
      <c r="N30" s="9" t="s">
        <v>33</v>
      </c>
      <c r="O30" s="9" t="s">
        <v>33</v>
      </c>
      <c r="P30" s="9" t="s">
        <v>33</v>
      </c>
      <c r="Q30" s="9" t="s">
        <v>33</v>
      </c>
      <c r="R30" s="9" t="s">
        <v>33</v>
      </c>
      <c r="S30" s="9" t="s">
        <v>33</v>
      </c>
      <c r="T30" s="9" t="s">
        <v>33</v>
      </c>
      <c r="U30" s="9" t="s">
        <v>33</v>
      </c>
      <c r="V30" s="9" t="s">
        <v>33</v>
      </c>
      <c r="W30" s="9" t="s">
        <v>33</v>
      </c>
      <c r="X30" s="9" t="s">
        <v>33</v>
      </c>
      <c r="Y30" s="9" t="s">
        <v>33</v>
      </c>
      <c r="Z30" s="9" t="s">
        <v>33</v>
      </c>
      <c r="AA30" s="9" t="s">
        <v>33</v>
      </c>
      <c r="AB30" s="9" t="s">
        <v>33</v>
      </c>
      <c r="AC30" s="9" t="s">
        <v>33</v>
      </c>
      <c r="AD30" s="9" t="s">
        <v>303</v>
      </c>
      <c r="AE30" s="9" t="s">
        <v>34</v>
      </c>
      <c r="AF30" s="56" t="s">
        <v>34</v>
      </c>
      <c r="AG30" s="92"/>
      <c r="AH30" s="94"/>
      <c r="AI30" s="102"/>
      <c r="AJ30" s="96"/>
      <c r="AK30" s="104"/>
      <c r="AL30" s="106"/>
      <c r="AM30" s="99"/>
      <c r="AN30" s="108"/>
      <c r="AO30" s="110"/>
    </row>
    <row r="31" spans="1:41">
      <c r="A31" s="117"/>
      <c r="B31" s="2" t="s">
        <v>64</v>
      </c>
      <c r="C31" s="9" t="s">
        <v>33</v>
      </c>
      <c r="D31" s="9" t="s">
        <v>33</v>
      </c>
      <c r="E31" s="9" t="s">
        <v>33</v>
      </c>
      <c r="F31" s="9" t="s">
        <v>33</v>
      </c>
      <c r="G31" s="9" t="s">
        <v>33</v>
      </c>
      <c r="H31" s="9" t="s">
        <v>33</v>
      </c>
      <c r="I31" s="9" t="s">
        <v>33</v>
      </c>
      <c r="J31" s="9" t="s">
        <v>33</v>
      </c>
      <c r="K31" s="9" t="s">
        <v>33</v>
      </c>
      <c r="L31" s="9" t="s">
        <v>33</v>
      </c>
      <c r="M31" s="9" t="s">
        <v>33</v>
      </c>
      <c r="N31" s="9" t="s">
        <v>33</v>
      </c>
      <c r="O31" s="9" t="s">
        <v>33</v>
      </c>
      <c r="P31" s="9" t="s">
        <v>33</v>
      </c>
      <c r="Q31" s="9" t="s">
        <v>33</v>
      </c>
      <c r="R31" s="9" t="s">
        <v>33</v>
      </c>
      <c r="S31" s="9" t="s">
        <v>33</v>
      </c>
      <c r="T31" s="9" t="s">
        <v>33</v>
      </c>
      <c r="U31" s="9" t="s">
        <v>33</v>
      </c>
      <c r="V31" s="9" t="s">
        <v>33</v>
      </c>
      <c r="W31" s="9" t="s">
        <v>33</v>
      </c>
      <c r="X31" s="9" t="s">
        <v>33</v>
      </c>
      <c r="Y31" s="9" t="s">
        <v>33</v>
      </c>
      <c r="Z31" s="9" t="s">
        <v>33</v>
      </c>
      <c r="AA31" s="9" t="s">
        <v>33</v>
      </c>
      <c r="AB31" s="9" t="s">
        <v>33</v>
      </c>
      <c r="AC31" s="9" t="s">
        <v>33</v>
      </c>
      <c r="AD31" s="9" t="s">
        <v>34</v>
      </c>
      <c r="AE31" s="9" t="s">
        <v>34</v>
      </c>
      <c r="AF31" s="56" t="s">
        <v>34</v>
      </c>
      <c r="AG31" s="87"/>
      <c r="AH31" s="94"/>
      <c r="AI31" s="102"/>
      <c r="AJ31" s="96"/>
      <c r="AK31" s="104"/>
      <c r="AL31" s="106"/>
      <c r="AM31" s="99"/>
      <c r="AN31" s="108"/>
      <c r="AO31" s="110"/>
    </row>
    <row r="32" spans="1:41">
      <c r="A32" s="117"/>
      <c r="B32" s="2" t="s">
        <v>65</v>
      </c>
      <c r="C32" s="9" t="s">
        <v>33</v>
      </c>
      <c r="D32" s="9" t="s">
        <v>33</v>
      </c>
      <c r="E32" s="9" t="s">
        <v>33</v>
      </c>
      <c r="F32" s="9" t="s">
        <v>33</v>
      </c>
      <c r="G32" s="9" t="s">
        <v>33</v>
      </c>
      <c r="H32" s="9" t="s">
        <v>33</v>
      </c>
      <c r="I32" s="9" t="s">
        <v>33</v>
      </c>
      <c r="J32" s="9" t="s">
        <v>33</v>
      </c>
      <c r="K32" s="9" t="s">
        <v>33</v>
      </c>
      <c r="L32" s="9" t="s">
        <v>33</v>
      </c>
      <c r="M32" s="9" t="s">
        <v>33</v>
      </c>
      <c r="N32" s="9" t="s">
        <v>33</v>
      </c>
      <c r="O32" s="9" t="s">
        <v>33</v>
      </c>
      <c r="P32" s="9" t="s">
        <v>33</v>
      </c>
      <c r="Q32" s="9" t="s">
        <v>33</v>
      </c>
      <c r="R32" s="9" t="s">
        <v>33</v>
      </c>
      <c r="S32" s="9" t="s">
        <v>303</v>
      </c>
      <c r="T32" s="9" t="s">
        <v>303</v>
      </c>
      <c r="U32" s="9" t="s">
        <v>33</v>
      </c>
      <c r="V32" s="9" t="s">
        <v>33</v>
      </c>
      <c r="W32" s="9" t="s">
        <v>303</v>
      </c>
      <c r="X32" s="9" t="s">
        <v>303</v>
      </c>
      <c r="Y32" s="9" t="s">
        <v>33</v>
      </c>
      <c r="Z32" s="9" t="s">
        <v>33</v>
      </c>
      <c r="AA32" s="9" t="s">
        <v>33</v>
      </c>
      <c r="AB32" s="9" t="s">
        <v>33</v>
      </c>
      <c r="AC32" s="9" t="s">
        <v>303</v>
      </c>
      <c r="AD32" s="9" t="s">
        <v>34</v>
      </c>
      <c r="AE32" s="9" t="s">
        <v>34</v>
      </c>
      <c r="AF32" s="56" t="s">
        <v>34</v>
      </c>
      <c r="AG32" s="87"/>
      <c r="AH32" s="49"/>
      <c r="AI32" s="102"/>
      <c r="AJ32" s="96"/>
      <c r="AK32" s="104"/>
      <c r="AL32" s="106"/>
      <c r="AM32" s="99"/>
      <c r="AN32" s="108"/>
      <c r="AO32" s="110"/>
    </row>
    <row r="33" spans="1:42">
      <c r="A33" s="117"/>
      <c r="B33" s="2" t="s">
        <v>66</v>
      </c>
      <c r="C33" s="9" t="s">
        <v>33</v>
      </c>
      <c r="D33" s="9" t="s">
        <v>33</v>
      </c>
      <c r="E33" s="9" t="s">
        <v>33</v>
      </c>
      <c r="F33" s="9" t="s">
        <v>33</v>
      </c>
      <c r="G33" s="9" t="s">
        <v>33</v>
      </c>
      <c r="H33" s="9" t="s">
        <v>33</v>
      </c>
      <c r="I33" s="9" t="s">
        <v>33</v>
      </c>
      <c r="J33" s="9" t="s">
        <v>33</v>
      </c>
      <c r="K33" s="9" t="s">
        <v>33</v>
      </c>
      <c r="L33" s="9" t="s">
        <v>33</v>
      </c>
      <c r="M33" s="9" t="s">
        <v>33</v>
      </c>
      <c r="N33" s="9" t="s">
        <v>33</v>
      </c>
      <c r="O33" s="9" t="s">
        <v>33</v>
      </c>
      <c r="P33" s="9" t="s">
        <v>33</v>
      </c>
      <c r="Q33" s="9" t="s">
        <v>33</v>
      </c>
      <c r="R33" s="9" t="s">
        <v>33</v>
      </c>
      <c r="S33" s="9" t="s">
        <v>303</v>
      </c>
      <c r="T33" s="9" t="s">
        <v>303</v>
      </c>
      <c r="U33" s="9" t="s">
        <v>303</v>
      </c>
      <c r="V33" s="9" t="s">
        <v>33</v>
      </c>
      <c r="W33" s="9" t="s">
        <v>303</v>
      </c>
      <c r="X33" s="9" t="s">
        <v>303</v>
      </c>
      <c r="Y33" s="9" t="s">
        <v>33</v>
      </c>
      <c r="Z33" s="9" t="s">
        <v>303</v>
      </c>
      <c r="AA33" s="9" t="s">
        <v>303</v>
      </c>
      <c r="AB33" s="9" t="s">
        <v>33</v>
      </c>
      <c r="AC33" s="9" t="s">
        <v>303</v>
      </c>
      <c r="AD33" s="9" t="s">
        <v>34</v>
      </c>
      <c r="AE33" s="9" t="s">
        <v>34</v>
      </c>
      <c r="AF33" s="56" t="s">
        <v>34</v>
      </c>
      <c r="AG33" s="87"/>
      <c r="AH33" s="49"/>
      <c r="AI33" s="102"/>
      <c r="AJ33" s="96"/>
      <c r="AK33" s="104"/>
      <c r="AL33" s="106"/>
      <c r="AM33" s="99"/>
      <c r="AN33" s="108"/>
      <c r="AO33" s="110"/>
    </row>
    <row r="34" spans="1:42">
      <c r="A34" s="117"/>
      <c r="B34" s="2" t="s">
        <v>67</v>
      </c>
      <c r="C34" s="9" t="s">
        <v>33</v>
      </c>
      <c r="D34" s="9" t="s">
        <v>33</v>
      </c>
      <c r="E34" s="9" t="s">
        <v>33</v>
      </c>
      <c r="F34" s="9" t="s">
        <v>33</v>
      </c>
      <c r="G34" s="9" t="s">
        <v>33</v>
      </c>
      <c r="H34" s="9" t="s">
        <v>33</v>
      </c>
      <c r="I34" s="9" t="s">
        <v>33</v>
      </c>
      <c r="J34" s="9" t="s">
        <v>33</v>
      </c>
      <c r="K34" s="9" t="s">
        <v>33</v>
      </c>
      <c r="L34" s="9" t="s">
        <v>33</v>
      </c>
      <c r="M34" s="9" t="s">
        <v>33</v>
      </c>
      <c r="N34" s="9" t="s">
        <v>33</v>
      </c>
      <c r="O34" s="9" t="s">
        <v>303</v>
      </c>
      <c r="P34" s="9" t="s">
        <v>303</v>
      </c>
      <c r="Q34" s="9" t="s">
        <v>303</v>
      </c>
      <c r="R34" s="9" t="s">
        <v>34</v>
      </c>
      <c r="S34" s="9" t="s">
        <v>34</v>
      </c>
      <c r="T34" s="9" t="s">
        <v>34</v>
      </c>
      <c r="U34" s="9" t="s">
        <v>34</v>
      </c>
      <c r="V34" s="9" t="s">
        <v>34</v>
      </c>
      <c r="W34" s="9" t="s">
        <v>34</v>
      </c>
      <c r="X34" s="9" t="s">
        <v>34</v>
      </c>
      <c r="Y34" s="9" t="s">
        <v>303</v>
      </c>
      <c r="Z34" s="9" t="s">
        <v>34</v>
      </c>
      <c r="AA34" s="9" t="s">
        <v>34</v>
      </c>
      <c r="AB34" s="9" t="s">
        <v>303</v>
      </c>
      <c r="AC34" s="9" t="s">
        <v>34</v>
      </c>
      <c r="AD34" s="9" t="s">
        <v>34</v>
      </c>
      <c r="AE34" s="9" t="s">
        <v>34</v>
      </c>
      <c r="AF34" s="56" t="s">
        <v>34</v>
      </c>
      <c r="AG34" s="87"/>
      <c r="AH34" s="49"/>
      <c r="AI34" s="49"/>
      <c r="AJ34" s="97"/>
      <c r="AK34" s="104"/>
      <c r="AL34" s="106"/>
      <c r="AM34" s="99"/>
      <c r="AN34" s="108"/>
      <c r="AO34" s="110"/>
    </row>
    <row r="35" spans="1:42">
      <c r="A35" s="117"/>
      <c r="B35" s="2" t="s">
        <v>68</v>
      </c>
      <c r="C35" s="9" t="s">
        <v>33</v>
      </c>
      <c r="D35" s="9" t="s">
        <v>33</v>
      </c>
      <c r="E35" s="9" t="s">
        <v>33</v>
      </c>
      <c r="F35" s="9" t="s">
        <v>33</v>
      </c>
      <c r="G35" s="9" t="s">
        <v>33</v>
      </c>
      <c r="H35" s="9" t="s">
        <v>33</v>
      </c>
      <c r="I35" s="9" t="s">
        <v>33</v>
      </c>
      <c r="J35" s="9" t="s">
        <v>33</v>
      </c>
      <c r="K35" s="9" t="s">
        <v>33</v>
      </c>
      <c r="L35" s="9" t="s">
        <v>33</v>
      </c>
      <c r="M35" s="9" t="s">
        <v>33</v>
      </c>
      <c r="N35" s="9" t="s">
        <v>33</v>
      </c>
      <c r="O35" s="9" t="s">
        <v>303</v>
      </c>
      <c r="P35" s="9" t="s">
        <v>303</v>
      </c>
      <c r="Q35" s="9" t="s">
        <v>303</v>
      </c>
      <c r="R35" s="9" t="s">
        <v>34</v>
      </c>
      <c r="S35" s="9" t="s">
        <v>34</v>
      </c>
      <c r="T35" s="9" t="s">
        <v>34</v>
      </c>
      <c r="U35" s="9" t="s">
        <v>34</v>
      </c>
      <c r="V35" s="9" t="s">
        <v>34</v>
      </c>
      <c r="W35" s="9" t="s">
        <v>34</v>
      </c>
      <c r="X35" s="9" t="s">
        <v>34</v>
      </c>
      <c r="Y35" s="9" t="s">
        <v>303</v>
      </c>
      <c r="Z35" s="9" t="s">
        <v>34</v>
      </c>
      <c r="AA35" s="9" t="s">
        <v>34</v>
      </c>
      <c r="AB35" s="9" t="s">
        <v>303</v>
      </c>
      <c r="AC35" s="9" t="s">
        <v>34</v>
      </c>
      <c r="AD35" s="9" t="s">
        <v>34</v>
      </c>
      <c r="AE35" s="9" t="s">
        <v>34</v>
      </c>
      <c r="AF35" s="56" t="s">
        <v>34</v>
      </c>
      <c r="AG35" s="87"/>
      <c r="AH35" s="49"/>
      <c r="AI35" s="49"/>
      <c r="AJ35" s="97"/>
      <c r="AK35" s="104"/>
      <c r="AL35" s="106"/>
      <c r="AM35" s="99"/>
      <c r="AN35" s="108"/>
      <c r="AO35" s="110"/>
    </row>
    <row r="36" spans="1:42">
      <c r="A36" s="117"/>
      <c r="B36" s="2" t="s">
        <v>69</v>
      </c>
      <c r="C36" s="9" t="s">
        <v>33</v>
      </c>
      <c r="D36" s="9" t="s">
        <v>33</v>
      </c>
      <c r="E36" s="9" t="s">
        <v>33</v>
      </c>
      <c r="F36" s="9" t="s">
        <v>299</v>
      </c>
      <c r="G36" s="9" t="s">
        <v>299</v>
      </c>
      <c r="H36" s="9" t="s">
        <v>299</v>
      </c>
      <c r="I36" s="9" t="s">
        <v>33</v>
      </c>
      <c r="J36" s="9" t="s">
        <v>299</v>
      </c>
      <c r="K36" s="9" t="s">
        <v>299</v>
      </c>
      <c r="L36" s="9" t="s">
        <v>34</v>
      </c>
      <c r="M36" s="9" t="s">
        <v>303</v>
      </c>
      <c r="N36" s="9" t="s">
        <v>303</v>
      </c>
      <c r="O36" s="9" t="s">
        <v>34</v>
      </c>
      <c r="P36" s="9" t="s">
        <v>34</v>
      </c>
      <c r="Q36" s="9" t="s">
        <v>303</v>
      </c>
      <c r="R36" s="9" t="s">
        <v>34</v>
      </c>
      <c r="S36" s="9" t="s">
        <v>34</v>
      </c>
      <c r="T36" s="9" t="s">
        <v>34</v>
      </c>
      <c r="U36" s="9" t="s">
        <v>34</v>
      </c>
      <c r="V36" s="9" t="s">
        <v>34</v>
      </c>
      <c r="W36" s="9" t="s">
        <v>34</v>
      </c>
      <c r="X36" s="9" t="s">
        <v>34</v>
      </c>
      <c r="Y36" s="9" t="s">
        <v>34</v>
      </c>
      <c r="Z36" s="9" t="s">
        <v>34</v>
      </c>
      <c r="AA36" s="9" t="s">
        <v>34</v>
      </c>
      <c r="AB36" s="9" t="s">
        <v>34</v>
      </c>
      <c r="AC36" s="9" t="s">
        <v>34</v>
      </c>
      <c r="AD36" s="9" t="s">
        <v>34</v>
      </c>
      <c r="AE36" s="9" t="s">
        <v>34</v>
      </c>
      <c r="AF36" s="56" t="s">
        <v>34</v>
      </c>
      <c r="AG36" s="87"/>
      <c r="AH36" s="49"/>
      <c r="AI36" s="49"/>
      <c r="AJ36" s="97"/>
      <c r="AK36" s="104"/>
      <c r="AL36" s="106"/>
      <c r="AM36" s="99"/>
      <c r="AN36" s="108"/>
      <c r="AO36" s="110"/>
    </row>
    <row r="37" spans="1:42" ht="15.75" customHeight="1" thickBot="1">
      <c r="A37" s="119"/>
      <c r="B37" s="19" t="s">
        <v>70</v>
      </c>
      <c r="C37" s="20" t="s">
        <v>33</v>
      </c>
      <c r="D37" s="20" t="s">
        <v>33</v>
      </c>
      <c r="E37" s="20" t="s">
        <v>33</v>
      </c>
      <c r="F37" s="20" t="s">
        <v>33</v>
      </c>
      <c r="G37" s="20" t="s">
        <v>303</v>
      </c>
      <c r="H37" s="20" t="s">
        <v>303</v>
      </c>
      <c r="I37" s="20" t="s">
        <v>303</v>
      </c>
      <c r="J37" s="20" t="s">
        <v>303</v>
      </c>
      <c r="K37" s="20" t="s">
        <v>303</v>
      </c>
      <c r="L37" s="20" t="s">
        <v>34</v>
      </c>
      <c r="M37" s="20" t="s">
        <v>34</v>
      </c>
      <c r="N37" s="20" t="s">
        <v>34</v>
      </c>
      <c r="O37" s="20" t="s">
        <v>34</v>
      </c>
      <c r="P37" s="20" t="s">
        <v>34</v>
      </c>
      <c r="Q37" s="20" t="s">
        <v>34</v>
      </c>
      <c r="R37" s="20" t="s">
        <v>34</v>
      </c>
      <c r="S37" s="20" t="s">
        <v>34</v>
      </c>
      <c r="T37" s="20" t="s">
        <v>34</v>
      </c>
      <c r="U37" s="20" t="s">
        <v>34</v>
      </c>
      <c r="V37" s="20" t="s">
        <v>34</v>
      </c>
      <c r="W37" s="20" t="s">
        <v>34</v>
      </c>
      <c r="X37" s="20" t="s">
        <v>34</v>
      </c>
      <c r="Y37" s="20" t="s">
        <v>34</v>
      </c>
      <c r="Z37" s="20" t="s">
        <v>34</v>
      </c>
      <c r="AA37" s="20" t="s">
        <v>34</v>
      </c>
      <c r="AB37" s="20" t="s">
        <v>34</v>
      </c>
      <c r="AC37" s="20" t="s">
        <v>34</v>
      </c>
      <c r="AD37" s="20" t="s">
        <v>34</v>
      </c>
      <c r="AE37" s="20" t="s">
        <v>34</v>
      </c>
      <c r="AF37" s="57" t="s">
        <v>34</v>
      </c>
      <c r="AG37" s="87"/>
      <c r="AH37" s="49"/>
      <c r="AI37" s="49"/>
      <c r="AJ37" s="49"/>
      <c r="AK37" s="49"/>
      <c r="AL37" s="49"/>
      <c r="AM37" s="100"/>
      <c r="AN37" s="108"/>
      <c r="AO37" s="110"/>
    </row>
    <row r="38" spans="1:42" ht="15" customHeight="1">
      <c r="A38" s="116" t="s">
        <v>71</v>
      </c>
      <c r="B38" s="16" t="s">
        <v>72</v>
      </c>
      <c r="C38" s="18" t="s">
        <v>33</v>
      </c>
      <c r="D38" s="18" t="s">
        <v>33</v>
      </c>
      <c r="E38" s="18" t="s">
        <v>33</v>
      </c>
      <c r="F38" s="18" t="s">
        <v>33</v>
      </c>
      <c r="G38" s="18" t="s">
        <v>33</v>
      </c>
      <c r="H38" s="18" t="s">
        <v>299</v>
      </c>
      <c r="I38" s="18" t="s">
        <v>33</v>
      </c>
      <c r="J38" s="18" t="s">
        <v>33</v>
      </c>
      <c r="K38" s="18" t="s">
        <v>33</v>
      </c>
      <c r="L38" s="18" t="s">
        <v>303</v>
      </c>
      <c r="M38" s="18" t="s">
        <v>33</v>
      </c>
      <c r="N38" s="18" t="s">
        <v>33</v>
      </c>
      <c r="O38" s="18" t="s">
        <v>303</v>
      </c>
      <c r="P38" s="18" t="s">
        <v>303</v>
      </c>
      <c r="Q38" s="18" t="s">
        <v>303</v>
      </c>
      <c r="R38" s="18" t="s">
        <v>34</v>
      </c>
      <c r="S38" s="18" t="s">
        <v>34</v>
      </c>
      <c r="T38" s="18" t="s">
        <v>34</v>
      </c>
      <c r="U38" s="18" t="s">
        <v>34</v>
      </c>
      <c r="V38" s="18" t="s">
        <v>34</v>
      </c>
      <c r="W38" s="18" t="s">
        <v>34</v>
      </c>
      <c r="X38" s="18" t="s">
        <v>34</v>
      </c>
      <c r="Y38" s="18" t="s">
        <v>34</v>
      </c>
      <c r="Z38" s="18" t="s">
        <v>34</v>
      </c>
      <c r="AA38" s="18" t="s">
        <v>34</v>
      </c>
      <c r="AB38" s="18" t="s">
        <v>34</v>
      </c>
      <c r="AC38" s="18" t="s">
        <v>34</v>
      </c>
      <c r="AD38" s="18" t="s">
        <v>34</v>
      </c>
      <c r="AE38" s="18" t="s">
        <v>34</v>
      </c>
      <c r="AF38" s="55" t="s">
        <v>34</v>
      </c>
      <c r="AG38" s="87"/>
      <c r="AH38" s="70"/>
      <c r="AI38" s="70"/>
      <c r="AJ38" s="75" t="s">
        <v>362</v>
      </c>
      <c r="AK38" s="112" t="s">
        <v>363</v>
      </c>
      <c r="AL38" s="105" t="s">
        <v>364</v>
      </c>
      <c r="AM38" s="98" t="s">
        <v>365</v>
      </c>
      <c r="AN38" s="107" t="s">
        <v>366</v>
      </c>
      <c r="AO38" s="109" t="s">
        <v>367</v>
      </c>
    </row>
    <row r="39" spans="1:42">
      <c r="A39" s="117"/>
      <c r="B39" s="2" t="s">
        <v>73</v>
      </c>
      <c r="C39" s="9" t="s">
        <v>33</v>
      </c>
      <c r="D39" s="9" t="s">
        <v>33</v>
      </c>
      <c r="E39" s="9" t="s">
        <v>33</v>
      </c>
      <c r="F39" s="9" t="s">
        <v>33</v>
      </c>
      <c r="G39" s="9" t="s">
        <v>33</v>
      </c>
      <c r="H39" s="9" t="s">
        <v>33</v>
      </c>
      <c r="I39" s="9" t="s">
        <v>33</v>
      </c>
      <c r="J39" s="9" t="s">
        <v>33</v>
      </c>
      <c r="K39" s="9" t="s">
        <v>33</v>
      </c>
      <c r="L39" s="9" t="s">
        <v>303</v>
      </c>
      <c r="M39" s="9" t="s">
        <v>33</v>
      </c>
      <c r="N39" s="9" t="s">
        <v>33</v>
      </c>
      <c r="O39" s="9" t="s">
        <v>303</v>
      </c>
      <c r="P39" s="9" t="s">
        <v>303</v>
      </c>
      <c r="Q39" s="9" t="s">
        <v>303</v>
      </c>
      <c r="R39" s="9" t="s">
        <v>34</v>
      </c>
      <c r="S39" s="9" t="s">
        <v>34</v>
      </c>
      <c r="T39" s="9" t="s">
        <v>34</v>
      </c>
      <c r="U39" s="9" t="s">
        <v>34</v>
      </c>
      <c r="V39" s="9" t="s">
        <v>34</v>
      </c>
      <c r="W39" s="9" t="s">
        <v>34</v>
      </c>
      <c r="X39" s="9" t="s">
        <v>34</v>
      </c>
      <c r="Y39" s="9" t="s">
        <v>34</v>
      </c>
      <c r="Z39" s="9" t="s">
        <v>34</v>
      </c>
      <c r="AA39" s="9" t="s">
        <v>34</v>
      </c>
      <c r="AB39" s="9" t="s">
        <v>34</v>
      </c>
      <c r="AC39" s="9" t="s">
        <v>34</v>
      </c>
      <c r="AD39" s="9" t="s">
        <v>34</v>
      </c>
      <c r="AE39" s="9" t="s">
        <v>34</v>
      </c>
      <c r="AF39" s="56" t="s">
        <v>34</v>
      </c>
      <c r="AG39" s="87"/>
      <c r="AH39" s="70"/>
      <c r="AI39" s="70"/>
      <c r="AJ39" s="76"/>
      <c r="AK39" s="113"/>
      <c r="AL39" s="106"/>
      <c r="AM39" s="99"/>
      <c r="AN39" s="108"/>
      <c r="AO39" s="110"/>
    </row>
    <row r="40" spans="1:42">
      <c r="A40" s="117"/>
      <c r="B40" s="2" t="s">
        <v>74</v>
      </c>
      <c r="C40" s="9" t="s">
        <v>33</v>
      </c>
      <c r="D40" s="9" t="s">
        <v>33</v>
      </c>
      <c r="E40" s="9" t="s">
        <v>33</v>
      </c>
      <c r="F40" s="9" t="s">
        <v>33</v>
      </c>
      <c r="G40" s="9" t="s">
        <v>33</v>
      </c>
      <c r="H40" s="9" t="s">
        <v>33</v>
      </c>
      <c r="I40" s="9" t="s">
        <v>33</v>
      </c>
      <c r="J40" s="9" t="s">
        <v>33</v>
      </c>
      <c r="K40" s="9" t="s">
        <v>33</v>
      </c>
      <c r="L40" s="9" t="s">
        <v>303</v>
      </c>
      <c r="M40" s="9" t="s">
        <v>33</v>
      </c>
      <c r="N40" s="9" t="s">
        <v>33</v>
      </c>
      <c r="O40" s="9" t="s">
        <v>303</v>
      </c>
      <c r="P40" s="9" t="s">
        <v>303</v>
      </c>
      <c r="Q40" s="9" t="s">
        <v>34</v>
      </c>
      <c r="R40" s="9" t="s">
        <v>34</v>
      </c>
      <c r="S40" s="9" t="s">
        <v>34</v>
      </c>
      <c r="T40" s="9" t="s">
        <v>34</v>
      </c>
      <c r="U40" s="9" t="s">
        <v>34</v>
      </c>
      <c r="V40" s="9" t="s">
        <v>34</v>
      </c>
      <c r="W40" s="9" t="s">
        <v>34</v>
      </c>
      <c r="X40" s="9" t="s">
        <v>34</v>
      </c>
      <c r="Y40" s="9" t="s">
        <v>303</v>
      </c>
      <c r="Z40" s="9" t="s">
        <v>34</v>
      </c>
      <c r="AA40" s="9" t="s">
        <v>34</v>
      </c>
      <c r="AB40" s="9" t="s">
        <v>303</v>
      </c>
      <c r="AC40" s="9" t="s">
        <v>34</v>
      </c>
      <c r="AD40" s="9" t="s">
        <v>34</v>
      </c>
      <c r="AE40" s="9" t="s">
        <v>34</v>
      </c>
      <c r="AF40" s="56" t="s">
        <v>34</v>
      </c>
      <c r="AG40" s="87"/>
      <c r="AH40" s="70"/>
      <c r="AI40" s="70"/>
      <c r="AJ40" s="76"/>
      <c r="AK40" s="113"/>
      <c r="AL40" s="106"/>
      <c r="AM40" s="99"/>
      <c r="AN40" s="108"/>
      <c r="AO40" s="110"/>
    </row>
    <row r="41" spans="1:42">
      <c r="A41" s="117"/>
      <c r="B41" s="2" t="s">
        <v>75</v>
      </c>
      <c r="C41" s="9" t="s">
        <v>33</v>
      </c>
      <c r="D41" s="9" t="s">
        <v>33</v>
      </c>
      <c r="E41" s="9" t="s">
        <v>33</v>
      </c>
      <c r="F41" s="9" t="s">
        <v>33</v>
      </c>
      <c r="G41" s="9" t="s">
        <v>33</v>
      </c>
      <c r="H41" s="9" t="s">
        <v>33</v>
      </c>
      <c r="I41" s="9" t="s">
        <v>33</v>
      </c>
      <c r="J41" s="9" t="s">
        <v>33</v>
      </c>
      <c r="K41" s="9" t="s">
        <v>33</v>
      </c>
      <c r="L41" s="9" t="s">
        <v>34</v>
      </c>
      <c r="M41" s="9" t="s">
        <v>33</v>
      </c>
      <c r="N41" s="9" t="s">
        <v>33</v>
      </c>
      <c r="O41" s="9" t="s">
        <v>303</v>
      </c>
      <c r="P41" s="9" t="s">
        <v>303</v>
      </c>
      <c r="Q41" s="9" t="s">
        <v>34</v>
      </c>
      <c r="R41" s="9" t="s">
        <v>34</v>
      </c>
      <c r="S41" s="9" t="s">
        <v>34</v>
      </c>
      <c r="T41" s="9" t="s">
        <v>34</v>
      </c>
      <c r="U41" s="9" t="s">
        <v>34</v>
      </c>
      <c r="V41" s="9" t="s">
        <v>34</v>
      </c>
      <c r="W41" s="9" t="s">
        <v>34</v>
      </c>
      <c r="X41" s="9" t="s">
        <v>34</v>
      </c>
      <c r="Y41" s="9" t="s">
        <v>34</v>
      </c>
      <c r="Z41" s="9" t="s">
        <v>34</v>
      </c>
      <c r="AA41" s="9" t="s">
        <v>34</v>
      </c>
      <c r="AB41" s="9" t="s">
        <v>34</v>
      </c>
      <c r="AC41" s="9" t="s">
        <v>34</v>
      </c>
      <c r="AD41" s="9" t="s">
        <v>34</v>
      </c>
      <c r="AE41" s="9" t="s">
        <v>34</v>
      </c>
      <c r="AF41" s="56" t="s">
        <v>34</v>
      </c>
      <c r="AG41" s="87"/>
      <c r="AH41" s="70"/>
      <c r="AI41" s="70"/>
      <c r="AJ41" s="49"/>
      <c r="AK41" s="113"/>
      <c r="AL41" s="106"/>
      <c r="AM41" s="99"/>
      <c r="AN41" s="108"/>
      <c r="AO41" s="110"/>
    </row>
    <row r="42" spans="1:42">
      <c r="A42" s="117"/>
      <c r="B42" s="2" t="s">
        <v>76</v>
      </c>
      <c r="C42" s="9" t="s">
        <v>33</v>
      </c>
      <c r="D42" s="9" t="s">
        <v>33</v>
      </c>
      <c r="E42" s="9" t="s">
        <v>33</v>
      </c>
      <c r="F42" s="9" t="s">
        <v>33</v>
      </c>
      <c r="G42" s="9" t="s">
        <v>33</v>
      </c>
      <c r="H42" s="9" t="s">
        <v>33</v>
      </c>
      <c r="I42" s="9" t="s">
        <v>303</v>
      </c>
      <c r="J42" s="9" t="s">
        <v>303</v>
      </c>
      <c r="K42" s="9" t="s">
        <v>303</v>
      </c>
      <c r="L42" s="9" t="s">
        <v>303</v>
      </c>
      <c r="M42" s="9" t="s">
        <v>303</v>
      </c>
      <c r="N42" s="9" t="s">
        <v>303</v>
      </c>
      <c r="O42" s="9" t="s">
        <v>303</v>
      </c>
      <c r="P42" s="9" t="s">
        <v>303</v>
      </c>
      <c r="Q42" s="9" t="s">
        <v>34</v>
      </c>
      <c r="R42" s="9" t="s">
        <v>34</v>
      </c>
      <c r="S42" s="9" t="s">
        <v>34</v>
      </c>
      <c r="T42" s="9" t="s">
        <v>34</v>
      </c>
      <c r="U42" s="9" t="s">
        <v>34</v>
      </c>
      <c r="V42" s="9" t="s">
        <v>34</v>
      </c>
      <c r="W42" s="9" t="s">
        <v>34</v>
      </c>
      <c r="X42" s="9" t="s">
        <v>34</v>
      </c>
      <c r="Y42" s="9" t="s">
        <v>34</v>
      </c>
      <c r="Z42" s="9" t="s">
        <v>34</v>
      </c>
      <c r="AA42" s="9" t="s">
        <v>34</v>
      </c>
      <c r="AB42" s="9" t="s">
        <v>34</v>
      </c>
      <c r="AC42" s="9" t="s">
        <v>34</v>
      </c>
      <c r="AD42" s="9" t="s">
        <v>34</v>
      </c>
      <c r="AE42" s="9" t="s">
        <v>34</v>
      </c>
      <c r="AF42" s="56" t="s">
        <v>34</v>
      </c>
      <c r="AG42" s="87"/>
      <c r="AH42" s="49"/>
      <c r="AI42" s="70"/>
      <c r="AJ42" s="49"/>
      <c r="AK42" s="113"/>
      <c r="AL42" s="106"/>
      <c r="AM42" s="99"/>
      <c r="AN42" s="108"/>
      <c r="AO42" s="110"/>
    </row>
    <row r="43" spans="1:42">
      <c r="A43" s="117"/>
      <c r="B43" s="2" t="s">
        <v>77</v>
      </c>
      <c r="C43" s="9" t="s">
        <v>33</v>
      </c>
      <c r="D43" s="9" t="s">
        <v>33</v>
      </c>
      <c r="E43" s="9" t="s">
        <v>33</v>
      </c>
      <c r="F43" s="9" t="s">
        <v>33</v>
      </c>
      <c r="G43" s="9" t="s">
        <v>33</v>
      </c>
      <c r="H43" s="9" t="s">
        <v>303</v>
      </c>
      <c r="I43" s="9" t="s">
        <v>303</v>
      </c>
      <c r="J43" s="9" t="s">
        <v>303</v>
      </c>
      <c r="K43" s="9" t="s">
        <v>33</v>
      </c>
      <c r="L43" s="9" t="s">
        <v>303</v>
      </c>
      <c r="M43" s="9" t="s">
        <v>303</v>
      </c>
      <c r="N43" s="9" t="s">
        <v>303</v>
      </c>
      <c r="O43" s="9" t="s">
        <v>34</v>
      </c>
      <c r="P43" s="9" t="s">
        <v>34</v>
      </c>
      <c r="Q43" s="9" t="s">
        <v>34</v>
      </c>
      <c r="R43" s="9" t="s">
        <v>34</v>
      </c>
      <c r="S43" s="9" t="s">
        <v>34</v>
      </c>
      <c r="T43" s="9" t="s">
        <v>34</v>
      </c>
      <c r="U43" s="9" t="s">
        <v>34</v>
      </c>
      <c r="V43" s="9" t="s">
        <v>34</v>
      </c>
      <c r="W43" s="9" t="s">
        <v>34</v>
      </c>
      <c r="X43" s="9" t="s">
        <v>34</v>
      </c>
      <c r="Y43" s="9" t="s">
        <v>34</v>
      </c>
      <c r="Z43" s="9" t="s">
        <v>34</v>
      </c>
      <c r="AA43" s="9" t="s">
        <v>34</v>
      </c>
      <c r="AB43" s="9" t="s">
        <v>34</v>
      </c>
      <c r="AC43" s="9" t="s">
        <v>34</v>
      </c>
      <c r="AD43" s="9" t="s">
        <v>34</v>
      </c>
      <c r="AE43" s="9" t="s">
        <v>34</v>
      </c>
      <c r="AF43" s="56" t="s">
        <v>34</v>
      </c>
      <c r="AG43" s="87"/>
      <c r="AH43" s="49"/>
      <c r="AI43" s="70"/>
      <c r="AJ43" s="49"/>
      <c r="AK43" s="49"/>
      <c r="AL43" s="111"/>
      <c r="AM43" s="99"/>
      <c r="AN43" s="108"/>
      <c r="AO43" s="110"/>
    </row>
    <row r="44" spans="1:42">
      <c r="A44" s="117"/>
      <c r="B44" s="2" t="s">
        <v>78</v>
      </c>
      <c r="C44" s="9" t="s">
        <v>33</v>
      </c>
      <c r="D44" s="9" t="s">
        <v>33</v>
      </c>
      <c r="E44" s="9" t="s">
        <v>33</v>
      </c>
      <c r="F44" s="9" t="s">
        <v>303</v>
      </c>
      <c r="G44" s="9" t="s">
        <v>33</v>
      </c>
      <c r="H44" s="9" t="s">
        <v>303</v>
      </c>
      <c r="I44" s="9" t="s">
        <v>33</v>
      </c>
      <c r="J44" s="9" t="s">
        <v>303</v>
      </c>
      <c r="K44" s="9" t="s">
        <v>303</v>
      </c>
      <c r="L44" s="9" t="s">
        <v>34</v>
      </c>
      <c r="M44" s="9" t="s">
        <v>303</v>
      </c>
      <c r="N44" s="9" t="s">
        <v>33</v>
      </c>
      <c r="O44" s="9" t="s">
        <v>34</v>
      </c>
      <c r="P44" s="9" t="s">
        <v>34</v>
      </c>
      <c r="Q44" s="9" t="s">
        <v>34</v>
      </c>
      <c r="R44" s="9" t="s">
        <v>34</v>
      </c>
      <c r="S44" s="9" t="s">
        <v>34</v>
      </c>
      <c r="T44" s="9" t="s">
        <v>34</v>
      </c>
      <c r="U44" s="9" t="s">
        <v>34</v>
      </c>
      <c r="V44" s="9" t="s">
        <v>34</v>
      </c>
      <c r="W44" s="9" t="s">
        <v>34</v>
      </c>
      <c r="X44" s="9" t="s">
        <v>34</v>
      </c>
      <c r="Y44" s="9" t="s">
        <v>34</v>
      </c>
      <c r="Z44" s="9" t="s">
        <v>34</v>
      </c>
      <c r="AA44" s="9" t="s">
        <v>34</v>
      </c>
      <c r="AB44" s="9" t="s">
        <v>34</v>
      </c>
      <c r="AC44" s="9" t="s">
        <v>34</v>
      </c>
      <c r="AD44" s="9" t="s">
        <v>34</v>
      </c>
      <c r="AE44" s="9" t="s">
        <v>34</v>
      </c>
      <c r="AF44" s="56" t="s">
        <v>34</v>
      </c>
      <c r="AG44" s="87"/>
      <c r="AH44" s="49"/>
      <c r="AI44" s="49"/>
      <c r="AJ44" s="49"/>
      <c r="AK44" s="49"/>
      <c r="AL44" s="111"/>
      <c r="AM44" s="99"/>
      <c r="AN44" s="108"/>
      <c r="AO44" s="110"/>
    </row>
    <row r="45" spans="1:42">
      <c r="A45" s="117"/>
      <c r="B45" s="2" t="s">
        <v>79</v>
      </c>
      <c r="C45" s="9" t="s">
        <v>33</v>
      </c>
      <c r="D45" s="9" t="s">
        <v>33</v>
      </c>
      <c r="E45" s="9" t="s">
        <v>33</v>
      </c>
      <c r="F45" s="9" t="s">
        <v>299</v>
      </c>
      <c r="G45" s="9" t="s">
        <v>33</v>
      </c>
      <c r="H45" s="9" t="s">
        <v>303</v>
      </c>
      <c r="I45" s="9" t="s">
        <v>33</v>
      </c>
      <c r="J45" s="9" t="s">
        <v>303</v>
      </c>
      <c r="K45" s="9" t="s">
        <v>303</v>
      </c>
      <c r="L45" s="9" t="s">
        <v>34</v>
      </c>
      <c r="M45" s="9" t="s">
        <v>303</v>
      </c>
      <c r="N45" s="9" t="s">
        <v>303</v>
      </c>
      <c r="O45" s="9" t="s">
        <v>34</v>
      </c>
      <c r="P45" s="9" t="s">
        <v>34</v>
      </c>
      <c r="Q45" s="9" t="s">
        <v>34</v>
      </c>
      <c r="R45" s="9" t="s">
        <v>34</v>
      </c>
      <c r="S45" s="9" t="s">
        <v>34</v>
      </c>
      <c r="T45" s="9" t="s">
        <v>34</v>
      </c>
      <c r="U45" s="9" t="s">
        <v>34</v>
      </c>
      <c r="V45" s="9" t="s">
        <v>34</v>
      </c>
      <c r="W45" s="9" t="s">
        <v>34</v>
      </c>
      <c r="X45" s="9" t="s">
        <v>34</v>
      </c>
      <c r="Y45" s="9" t="s">
        <v>34</v>
      </c>
      <c r="Z45" s="9" t="s">
        <v>34</v>
      </c>
      <c r="AA45" s="9" t="s">
        <v>34</v>
      </c>
      <c r="AB45" s="9" t="s">
        <v>34</v>
      </c>
      <c r="AC45" s="9" t="s">
        <v>34</v>
      </c>
      <c r="AD45" s="9" t="s">
        <v>34</v>
      </c>
      <c r="AE45" s="9" t="s">
        <v>34</v>
      </c>
      <c r="AF45" s="56" t="s">
        <v>34</v>
      </c>
      <c r="AG45" s="87"/>
      <c r="AH45" s="49"/>
      <c r="AI45" s="49"/>
      <c r="AJ45" s="49"/>
      <c r="AK45" s="49"/>
      <c r="AL45" s="111"/>
      <c r="AM45" s="99"/>
      <c r="AN45" s="108"/>
      <c r="AO45" s="110"/>
    </row>
    <row r="46" spans="1:42" ht="15.75" customHeight="1" thickBot="1">
      <c r="A46" s="119"/>
      <c r="B46" s="19" t="s">
        <v>80</v>
      </c>
      <c r="C46" s="20" t="s">
        <v>33</v>
      </c>
      <c r="D46" s="20" t="s">
        <v>33</v>
      </c>
      <c r="E46" s="20" t="s">
        <v>33</v>
      </c>
      <c r="F46" s="20" t="s">
        <v>303</v>
      </c>
      <c r="G46" s="20" t="s">
        <v>33</v>
      </c>
      <c r="H46" s="20" t="s">
        <v>34</v>
      </c>
      <c r="I46" s="20" t="s">
        <v>34</v>
      </c>
      <c r="J46" s="20" t="s">
        <v>34</v>
      </c>
      <c r="K46" s="20" t="s">
        <v>34</v>
      </c>
      <c r="L46" s="20" t="s">
        <v>34</v>
      </c>
      <c r="M46" s="20" t="s">
        <v>34</v>
      </c>
      <c r="N46" s="20" t="s">
        <v>34</v>
      </c>
      <c r="O46" s="20" t="s">
        <v>34</v>
      </c>
      <c r="P46" s="20" t="s">
        <v>34</v>
      </c>
      <c r="Q46" s="20" t="s">
        <v>34</v>
      </c>
      <c r="R46" s="20" t="s">
        <v>34</v>
      </c>
      <c r="S46" s="20" t="s">
        <v>34</v>
      </c>
      <c r="T46" s="20" t="s">
        <v>34</v>
      </c>
      <c r="U46" s="20" t="s">
        <v>34</v>
      </c>
      <c r="V46" s="20" t="s">
        <v>34</v>
      </c>
      <c r="W46" s="20" t="s">
        <v>34</v>
      </c>
      <c r="X46" s="20" t="s">
        <v>34</v>
      </c>
      <c r="Y46" s="20" t="s">
        <v>34</v>
      </c>
      <c r="Z46" s="20" t="s">
        <v>34</v>
      </c>
      <c r="AA46" s="20" t="s">
        <v>34</v>
      </c>
      <c r="AB46" s="20" t="s">
        <v>34</v>
      </c>
      <c r="AC46" s="20" t="s">
        <v>34</v>
      </c>
      <c r="AD46" s="20" t="s">
        <v>34</v>
      </c>
      <c r="AE46" s="20" t="s">
        <v>34</v>
      </c>
      <c r="AF46" s="57" t="s">
        <v>34</v>
      </c>
      <c r="AG46" s="87"/>
      <c r="AH46" s="49"/>
      <c r="AI46" s="49"/>
      <c r="AJ46" s="49"/>
      <c r="AK46" s="49"/>
      <c r="AL46" s="111"/>
      <c r="AM46" s="99"/>
      <c r="AN46" s="108"/>
      <c r="AO46" s="110"/>
    </row>
    <row r="47" spans="1:42" ht="15.75" customHeight="1" thickBot="1">
      <c r="A47" s="58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59"/>
      <c r="AG47" s="49"/>
      <c r="AH47" s="49"/>
      <c r="AI47" s="49"/>
      <c r="AJ47" s="49"/>
      <c r="AK47" s="49"/>
      <c r="AL47" s="49"/>
      <c r="AM47" s="49"/>
      <c r="AN47" s="49"/>
      <c r="AO47" s="49"/>
      <c r="AP47" s="50"/>
    </row>
    <row r="48" spans="1:42" ht="15.75" customHeight="1" thickBot="1">
      <c r="A48" s="128" t="s">
        <v>81</v>
      </c>
      <c r="B48" s="129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1"/>
    </row>
    <row r="49" spans="1:41" ht="15" customHeight="1">
      <c r="A49" s="116" t="s">
        <v>82</v>
      </c>
      <c r="B49" s="22" t="s">
        <v>83</v>
      </c>
      <c r="C49" s="18" t="s">
        <v>33</v>
      </c>
      <c r="D49" s="18" t="s">
        <v>33</v>
      </c>
      <c r="E49" s="18" t="s">
        <v>33</v>
      </c>
      <c r="F49" s="18" t="s">
        <v>33</v>
      </c>
      <c r="G49" s="18" t="s">
        <v>33</v>
      </c>
      <c r="H49" s="18" t="s">
        <v>33</v>
      </c>
      <c r="I49" s="18" t="s">
        <v>33</v>
      </c>
      <c r="J49" s="18" t="s">
        <v>33</v>
      </c>
      <c r="K49" s="18" t="s">
        <v>33</v>
      </c>
      <c r="L49" s="18" t="s">
        <v>33</v>
      </c>
      <c r="M49" s="18" t="s">
        <v>33</v>
      </c>
      <c r="N49" s="18" t="s">
        <v>33</v>
      </c>
      <c r="O49" s="18" t="s">
        <v>33</v>
      </c>
      <c r="P49" s="18" t="s">
        <v>33</v>
      </c>
      <c r="Q49" s="18" t="s">
        <v>33</v>
      </c>
      <c r="R49" s="18" t="s">
        <v>33</v>
      </c>
      <c r="S49" s="18" t="s">
        <v>33</v>
      </c>
      <c r="T49" s="18" t="s">
        <v>33</v>
      </c>
      <c r="U49" s="18" t="s">
        <v>33</v>
      </c>
      <c r="V49" s="18" t="s">
        <v>33</v>
      </c>
      <c r="W49" s="18" t="s">
        <v>33</v>
      </c>
      <c r="X49" s="18" t="s">
        <v>33</v>
      </c>
      <c r="Y49" s="18" t="s">
        <v>33</v>
      </c>
      <c r="Z49" s="18" t="s">
        <v>33</v>
      </c>
      <c r="AA49" s="18" t="s">
        <v>33</v>
      </c>
      <c r="AB49" s="18" t="s">
        <v>33</v>
      </c>
      <c r="AC49" s="18" t="s">
        <v>33</v>
      </c>
      <c r="AD49" s="18" t="s">
        <v>33</v>
      </c>
      <c r="AE49" s="18" t="s">
        <v>33</v>
      </c>
      <c r="AF49" s="55" t="s">
        <v>33</v>
      </c>
      <c r="AG49" s="90" t="s">
        <v>359</v>
      </c>
      <c r="AH49" s="71" t="s">
        <v>360</v>
      </c>
      <c r="AI49" s="73" t="s">
        <v>361</v>
      </c>
      <c r="AJ49" s="75" t="s">
        <v>362</v>
      </c>
      <c r="AK49" s="85" t="s">
        <v>363</v>
      </c>
      <c r="AL49" s="83" t="s">
        <v>364</v>
      </c>
      <c r="AM49" s="81" t="s">
        <v>365</v>
      </c>
      <c r="AN49" s="79" t="s">
        <v>366</v>
      </c>
      <c r="AO49" s="77" t="s">
        <v>367</v>
      </c>
    </row>
    <row r="50" spans="1:41">
      <c r="A50" s="117"/>
      <c r="B50" s="3" t="s">
        <v>84</v>
      </c>
      <c r="C50" s="9" t="s">
        <v>33</v>
      </c>
      <c r="D50" s="9" t="s">
        <v>33</v>
      </c>
      <c r="E50" s="9" t="s">
        <v>33</v>
      </c>
      <c r="F50" s="9" t="s">
        <v>33</v>
      </c>
      <c r="G50" s="9" t="s">
        <v>33</v>
      </c>
      <c r="H50" s="9" t="s">
        <v>33</v>
      </c>
      <c r="I50" s="9" t="s">
        <v>33</v>
      </c>
      <c r="J50" s="9" t="s">
        <v>33</v>
      </c>
      <c r="K50" s="9" t="s">
        <v>33</v>
      </c>
      <c r="L50" s="9" t="s">
        <v>33</v>
      </c>
      <c r="M50" s="9" t="s">
        <v>33</v>
      </c>
      <c r="N50" s="9" t="s">
        <v>33</v>
      </c>
      <c r="O50" s="9" t="s">
        <v>33</v>
      </c>
      <c r="P50" s="9" t="s">
        <v>33</v>
      </c>
      <c r="Q50" s="9" t="s">
        <v>33</v>
      </c>
      <c r="R50" s="9" t="s">
        <v>33</v>
      </c>
      <c r="S50" s="9" t="s">
        <v>33</v>
      </c>
      <c r="T50" s="9" t="s">
        <v>33</v>
      </c>
      <c r="U50" s="9" t="s">
        <v>33</v>
      </c>
      <c r="V50" s="9" t="s">
        <v>33</v>
      </c>
      <c r="W50" s="9" t="s">
        <v>33</v>
      </c>
      <c r="X50" s="9" t="s">
        <v>33</v>
      </c>
      <c r="Y50" s="9" t="s">
        <v>33</v>
      </c>
      <c r="Z50" s="9" t="s">
        <v>33</v>
      </c>
      <c r="AA50" s="9" t="s">
        <v>33</v>
      </c>
      <c r="AB50" s="9" t="s">
        <v>33</v>
      </c>
      <c r="AC50" s="9" t="s">
        <v>33</v>
      </c>
      <c r="AD50" s="9" t="s">
        <v>33</v>
      </c>
      <c r="AE50" s="9" t="s">
        <v>33</v>
      </c>
      <c r="AF50" s="56" t="s">
        <v>33</v>
      </c>
      <c r="AG50" s="90"/>
      <c r="AH50" s="72"/>
      <c r="AI50" s="74"/>
      <c r="AJ50" s="76"/>
      <c r="AK50" s="86"/>
      <c r="AL50" s="84"/>
      <c r="AM50" s="82"/>
      <c r="AN50" s="80"/>
      <c r="AO50" s="78"/>
    </row>
    <row r="51" spans="1:41">
      <c r="A51" s="117"/>
      <c r="B51" s="3" t="s">
        <v>85</v>
      </c>
      <c r="C51" s="9" t="s">
        <v>33</v>
      </c>
      <c r="D51" s="9" t="s">
        <v>33</v>
      </c>
      <c r="E51" s="9" t="s">
        <v>33</v>
      </c>
      <c r="F51" s="9" t="s">
        <v>33</v>
      </c>
      <c r="G51" s="9" t="s">
        <v>33</v>
      </c>
      <c r="H51" s="9" t="s">
        <v>33</v>
      </c>
      <c r="I51" s="9" t="s">
        <v>33</v>
      </c>
      <c r="J51" s="9" t="s">
        <v>33</v>
      </c>
      <c r="K51" s="9" t="s">
        <v>33</v>
      </c>
      <c r="L51" s="9" t="s">
        <v>33</v>
      </c>
      <c r="M51" s="9" t="s">
        <v>33</v>
      </c>
      <c r="N51" s="9" t="s">
        <v>33</v>
      </c>
      <c r="O51" s="9" t="s">
        <v>33</v>
      </c>
      <c r="P51" s="9" t="s">
        <v>33</v>
      </c>
      <c r="Q51" s="9" t="s">
        <v>33</v>
      </c>
      <c r="R51" s="9" t="s">
        <v>33</v>
      </c>
      <c r="S51" s="9" t="s">
        <v>33</v>
      </c>
      <c r="T51" s="9" t="s">
        <v>33</v>
      </c>
      <c r="U51" s="9" t="s">
        <v>33</v>
      </c>
      <c r="V51" s="9" t="s">
        <v>33</v>
      </c>
      <c r="W51" s="9" t="s">
        <v>33</v>
      </c>
      <c r="X51" s="9" t="s">
        <v>33</v>
      </c>
      <c r="Y51" s="9" t="s">
        <v>33</v>
      </c>
      <c r="Z51" s="9" t="s">
        <v>33</v>
      </c>
      <c r="AA51" s="9" t="s">
        <v>33</v>
      </c>
      <c r="AB51" s="9" t="s">
        <v>33</v>
      </c>
      <c r="AC51" s="9" t="s">
        <v>33</v>
      </c>
      <c r="AD51" s="9" t="s">
        <v>33</v>
      </c>
      <c r="AE51" s="9" t="s">
        <v>33</v>
      </c>
      <c r="AF51" s="56" t="s">
        <v>33</v>
      </c>
      <c r="AG51" s="90"/>
      <c r="AH51" s="72"/>
      <c r="AI51" s="74"/>
      <c r="AJ51" s="76"/>
      <c r="AK51" s="86"/>
      <c r="AL51" s="84"/>
      <c r="AM51" s="82"/>
      <c r="AN51" s="80"/>
      <c r="AO51" s="78"/>
    </row>
    <row r="52" spans="1:41">
      <c r="A52" s="117"/>
      <c r="B52" s="3" t="s">
        <v>86</v>
      </c>
      <c r="C52" s="9" t="s">
        <v>33</v>
      </c>
      <c r="D52" s="9" t="s">
        <v>33</v>
      </c>
      <c r="E52" s="9" t="s">
        <v>33</v>
      </c>
      <c r="F52" s="9" t="s">
        <v>33</v>
      </c>
      <c r="G52" s="9" t="s">
        <v>33</v>
      </c>
      <c r="H52" s="9" t="s">
        <v>33</v>
      </c>
      <c r="I52" s="9" t="s">
        <v>33</v>
      </c>
      <c r="J52" s="9" t="s">
        <v>33</v>
      </c>
      <c r="K52" s="9" t="s">
        <v>33</v>
      </c>
      <c r="L52" s="9" t="s">
        <v>33</v>
      </c>
      <c r="M52" s="9" t="s">
        <v>33</v>
      </c>
      <c r="N52" s="9" t="s">
        <v>33</v>
      </c>
      <c r="O52" s="9" t="s">
        <v>33</v>
      </c>
      <c r="P52" s="9" t="s">
        <v>33</v>
      </c>
      <c r="Q52" s="9" t="s">
        <v>33</v>
      </c>
      <c r="R52" s="9" t="s">
        <v>33</v>
      </c>
      <c r="S52" s="9" t="s">
        <v>33</v>
      </c>
      <c r="T52" s="9" t="s">
        <v>33</v>
      </c>
      <c r="U52" s="9" t="s">
        <v>33</v>
      </c>
      <c r="V52" s="9" t="s">
        <v>33</v>
      </c>
      <c r="W52" s="9" t="s">
        <v>33</v>
      </c>
      <c r="X52" s="9" t="s">
        <v>33</v>
      </c>
      <c r="Y52" s="9" t="s">
        <v>33</v>
      </c>
      <c r="Z52" s="9" t="s">
        <v>33</v>
      </c>
      <c r="AA52" s="9" t="s">
        <v>33</v>
      </c>
      <c r="AB52" s="9" t="s">
        <v>33</v>
      </c>
      <c r="AC52" s="9" t="s">
        <v>33</v>
      </c>
      <c r="AD52" s="9" t="s">
        <v>33</v>
      </c>
      <c r="AE52" s="9" t="s">
        <v>33</v>
      </c>
      <c r="AF52" s="56" t="s">
        <v>303</v>
      </c>
      <c r="AG52" s="90"/>
      <c r="AH52" s="72"/>
      <c r="AI52" s="74"/>
      <c r="AJ52" s="76"/>
      <c r="AK52" s="86"/>
      <c r="AL52" s="84"/>
      <c r="AM52" s="82"/>
      <c r="AN52" s="80"/>
      <c r="AO52" s="78"/>
    </row>
    <row r="53" spans="1:41">
      <c r="A53" s="117"/>
      <c r="B53" s="3" t="s">
        <v>87</v>
      </c>
      <c r="C53" s="9" t="s">
        <v>33</v>
      </c>
      <c r="D53" s="9" t="s">
        <v>33</v>
      </c>
      <c r="E53" s="9" t="s">
        <v>33</v>
      </c>
      <c r="F53" s="9" t="s">
        <v>33</v>
      </c>
      <c r="G53" s="9" t="s">
        <v>33</v>
      </c>
      <c r="H53" s="9" t="s">
        <v>33</v>
      </c>
      <c r="I53" s="9" t="s">
        <v>33</v>
      </c>
      <c r="J53" s="9" t="s">
        <v>33</v>
      </c>
      <c r="K53" s="9" t="s">
        <v>33</v>
      </c>
      <c r="L53" s="9" t="s">
        <v>33</v>
      </c>
      <c r="M53" s="9" t="s">
        <v>33</v>
      </c>
      <c r="N53" s="9" t="s">
        <v>33</v>
      </c>
      <c r="O53" s="9" t="s">
        <v>33</v>
      </c>
      <c r="P53" s="9" t="s">
        <v>33</v>
      </c>
      <c r="Q53" s="9" t="s">
        <v>33</v>
      </c>
      <c r="R53" s="9" t="s">
        <v>33</v>
      </c>
      <c r="S53" s="9" t="s">
        <v>33</v>
      </c>
      <c r="T53" s="9" t="s">
        <v>33</v>
      </c>
      <c r="U53" s="9" t="s">
        <v>33</v>
      </c>
      <c r="V53" s="9" t="s">
        <v>33</v>
      </c>
      <c r="W53" s="9" t="s">
        <v>33</v>
      </c>
      <c r="X53" s="9" t="s">
        <v>33</v>
      </c>
      <c r="Y53" s="9" t="s">
        <v>33</v>
      </c>
      <c r="Z53" s="9" t="s">
        <v>33</v>
      </c>
      <c r="AA53" s="9" t="s">
        <v>33</v>
      </c>
      <c r="AB53" s="9" t="s">
        <v>33</v>
      </c>
      <c r="AC53" s="9" t="s">
        <v>33</v>
      </c>
      <c r="AD53" s="9" t="s">
        <v>33</v>
      </c>
      <c r="AE53" s="9" t="s">
        <v>33</v>
      </c>
      <c r="AF53" s="56" t="s">
        <v>303</v>
      </c>
      <c r="AG53" s="90"/>
      <c r="AH53" s="72"/>
      <c r="AI53" s="74"/>
      <c r="AJ53" s="76"/>
      <c r="AK53" s="86"/>
      <c r="AL53" s="84"/>
      <c r="AM53" s="82"/>
      <c r="AN53" s="80"/>
      <c r="AO53" s="78"/>
    </row>
    <row r="54" spans="1:41">
      <c r="A54" s="117"/>
      <c r="B54" s="3" t="s">
        <v>88</v>
      </c>
      <c r="C54" s="9" t="s">
        <v>33</v>
      </c>
      <c r="D54" s="9" t="s">
        <v>33</v>
      </c>
      <c r="E54" s="9" t="s">
        <v>33</v>
      </c>
      <c r="F54" s="9" t="s">
        <v>33</v>
      </c>
      <c r="G54" s="9" t="s">
        <v>33</v>
      </c>
      <c r="H54" s="9" t="s">
        <v>33</v>
      </c>
      <c r="I54" s="9" t="s">
        <v>33</v>
      </c>
      <c r="J54" s="9" t="s">
        <v>33</v>
      </c>
      <c r="K54" s="9" t="s">
        <v>33</v>
      </c>
      <c r="L54" s="9" t="s">
        <v>33</v>
      </c>
      <c r="M54" s="9" t="s">
        <v>33</v>
      </c>
      <c r="N54" s="9" t="s">
        <v>33</v>
      </c>
      <c r="O54" s="9" t="s">
        <v>33</v>
      </c>
      <c r="P54" s="9" t="s">
        <v>33</v>
      </c>
      <c r="Q54" s="9" t="s">
        <v>33</v>
      </c>
      <c r="R54" s="9" t="s">
        <v>33</v>
      </c>
      <c r="S54" s="9" t="s">
        <v>33</v>
      </c>
      <c r="T54" s="9" t="s">
        <v>33</v>
      </c>
      <c r="U54" s="9" t="s">
        <v>33</v>
      </c>
      <c r="V54" s="9" t="s">
        <v>33</v>
      </c>
      <c r="W54" s="9" t="s">
        <v>33</v>
      </c>
      <c r="X54" s="9" t="s">
        <v>33</v>
      </c>
      <c r="Y54" s="9" t="s">
        <v>33</v>
      </c>
      <c r="Z54" s="9" t="s">
        <v>33</v>
      </c>
      <c r="AA54" s="9" t="s">
        <v>33</v>
      </c>
      <c r="AB54" s="9" t="s">
        <v>33</v>
      </c>
      <c r="AC54" s="9" t="s">
        <v>33</v>
      </c>
      <c r="AD54" s="9" t="s">
        <v>33</v>
      </c>
      <c r="AE54" s="9" t="s">
        <v>303</v>
      </c>
      <c r="AF54" s="56" t="s">
        <v>34</v>
      </c>
      <c r="AG54" s="90"/>
      <c r="AH54" s="72"/>
      <c r="AI54" s="74"/>
      <c r="AJ54" s="76"/>
      <c r="AK54" s="86"/>
      <c r="AL54" s="84"/>
      <c r="AM54" s="82"/>
      <c r="AN54" s="80"/>
      <c r="AO54" s="78"/>
    </row>
    <row r="55" spans="1:41">
      <c r="A55" s="117"/>
      <c r="B55" s="3" t="s">
        <v>89</v>
      </c>
      <c r="C55" s="9" t="s">
        <v>33</v>
      </c>
      <c r="D55" s="9" t="s">
        <v>33</v>
      </c>
      <c r="E55" s="9" t="s">
        <v>33</v>
      </c>
      <c r="F55" s="9" t="s">
        <v>33</v>
      </c>
      <c r="G55" s="9" t="s">
        <v>33</v>
      </c>
      <c r="H55" s="9" t="s">
        <v>33</v>
      </c>
      <c r="I55" s="9" t="s">
        <v>33</v>
      </c>
      <c r="J55" s="9" t="s">
        <v>33</v>
      </c>
      <c r="K55" s="9" t="s">
        <v>33</v>
      </c>
      <c r="L55" s="9" t="s">
        <v>33</v>
      </c>
      <c r="M55" s="9" t="s">
        <v>33</v>
      </c>
      <c r="N55" s="9" t="s">
        <v>33</v>
      </c>
      <c r="O55" s="9" t="s">
        <v>33</v>
      </c>
      <c r="P55" s="9" t="s">
        <v>33</v>
      </c>
      <c r="Q55" s="9" t="s">
        <v>33</v>
      </c>
      <c r="R55" s="9" t="s">
        <v>33</v>
      </c>
      <c r="S55" s="9" t="s">
        <v>33</v>
      </c>
      <c r="T55" s="9" t="s">
        <v>33</v>
      </c>
      <c r="U55" s="9" t="s">
        <v>33</v>
      </c>
      <c r="V55" s="9" t="s">
        <v>33</v>
      </c>
      <c r="W55" s="9" t="s">
        <v>33</v>
      </c>
      <c r="X55" s="9" t="s">
        <v>33</v>
      </c>
      <c r="Y55" s="9" t="s">
        <v>33</v>
      </c>
      <c r="Z55" s="9" t="s">
        <v>33</v>
      </c>
      <c r="AA55" s="9" t="s">
        <v>33</v>
      </c>
      <c r="AB55" s="9" t="s">
        <v>33</v>
      </c>
      <c r="AC55" s="9" t="s">
        <v>33</v>
      </c>
      <c r="AD55" s="9" t="s">
        <v>33</v>
      </c>
      <c r="AE55" s="9" t="s">
        <v>34</v>
      </c>
      <c r="AF55" s="56" t="s">
        <v>34</v>
      </c>
      <c r="AG55" s="90"/>
      <c r="AH55" s="72"/>
      <c r="AI55" s="74"/>
      <c r="AJ55" s="76"/>
      <c r="AK55" s="86"/>
      <c r="AL55" s="84"/>
      <c r="AM55" s="82"/>
      <c r="AN55" s="80"/>
      <c r="AO55" s="78"/>
    </row>
    <row r="56" spans="1:41">
      <c r="A56" s="117"/>
      <c r="B56" s="3" t="s">
        <v>90</v>
      </c>
      <c r="C56" s="9" t="s">
        <v>33</v>
      </c>
      <c r="D56" s="9" t="s">
        <v>33</v>
      </c>
      <c r="E56" s="9" t="s">
        <v>33</v>
      </c>
      <c r="F56" s="9" t="s">
        <v>33</v>
      </c>
      <c r="G56" s="9" t="s">
        <v>33</v>
      </c>
      <c r="H56" s="9" t="s">
        <v>33</v>
      </c>
      <c r="I56" s="9" t="s">
        <v>33</v>
      </c>
      <c r="J56" s="9" t="s">
        <v>33</v>
      </c>
      <c r="K56" s="9" t="s">
        <v>33</v>
      </c>
      <c r="L56" s="9" t="s">
        <v>33</v>
      </c>
      <c r="M56" s="9" t="s">
        <v>33</v>
      </c>
      <c r="N56" s="9" t="s">
        <v>33</v>
      </c>
      <c r="O56" s="9" t="s">
        <v>33</v>
      </c>
      <c r="P56" s="9" t="s">
        <v>33</v>
      </c>
      <c r="Q56" s="9" t="s">
        <v>33</v>
      </c>
      <c r="R56" s="9" t="s">
        <v>33</v>
      </c>
      <c r="S56" s="9" t="s">
        <v>33</v>
      </c>
      <c r="T56" s="9" t="s">
        <v>33</v>
      </c>
      <c r="U56" s="9" t="s">
        <v>33</v>
      </c>
      <c r="V56" s="9" t="s">
        <v>33</v>
      </c>
      <c r="W56" s="9" t="s">
        <v>33</v>
      </c>
      <c r="X56" s="9" t="s">
        <v>33</v>
      </c>
      <c r="Y56" s="9" t="s">
        <v>33</v>
      </c>
      <c r="Z56" s="9" t="s">
        <v>33</v>
      </c>
      <c r="AA56" s="9" t="s">
        <v>33</v>
      </c>
      <c r="AB56" s="9" t="s">
        <v>33</v>
      </c>
      <c r="AC56" s="9" t="s">
        <v>33</v>
      </c>
      <c r="AD56" s="9" t="s">
        <v>33</v>
      </c>
      <c r="AE56" s="9" t="s">
        <v>34</v>
      </c>
      <c r="AF56" s="56" t="s">
        <v>34</v>
      </c>
      <c r="AG56" s="87"/>
      <c r="AH56" s="72"/>
      <c r="AI56" s="74"/>
      <c r="AJ56" s="76"/>
      <c r="AK56" s="86"/>
      <c r="AL56" s="84"/>
      <c r="AM56" s="82"/>
      <c r="AN56" s="80"/>
      <c r="AO56" s="78"/>
    </row>
    <row r="57" spans="1:41">
      <c r="A57" s="117"/>
      <c r="B57" s="3" t="s">
        <v>91</v>
      </c>
      <c r="C57" s="9" t="s">
        <v>33</v>
      </c>
      <c r="D57" s="9" t="s">
        <v>33</v>
      </c>
      <c r="E57" s="9" t="s">
        <v>33</v>
      </c>
      <c r="F57" s="9" t="s">
        <v>33</v>
      </c>
      <c r="G57" s="9" t="s">
        <v>33</v>
      </c>
      <c r="H57" s="9" t="s">
        <v>33</v>
      </c>
      <c r="I57" s="9" t="s">
        <v>33</v>
      </c>
      <c r="J57" s="9" t="s">
        <v>33</v>
      </c>
      <c r="K57" s="9" t="s">
        <v>33</v>
      </c>
      <c r="L57" s="9" t="s">
        <v>33</v>
      </c>
      <c r="M57" s="9" t="s">
        <v>33</v>
      </c>
      <c r="N57" s="9" t="s">
        <v>33</v>
      </c>
      <c r="O57" s="9" t="s">
        <v>33</v>
      </c>
      <c r="P57" s="9" t="s">
        <v>33</v>
      </c>
      <c r="Q57" s="9" t="s">
        <v>33</v>
      </c>
      <c r="R57" s="9" t="s">
        <v>33</v>
      </c>
      <c r="S57" s="9" t="s">
        <v>33</v>
      </c>
      <c r="T57" s="9" t="s">
        <v>33</v>
      </c>
      <c r="U57" s="9" t="s">
        <v>33</v>
      </c>
      <c r="V57" s="9" t="s">
        <v>33</v>
      </c>
      <c r="W57" s="9" t="s">
        <v>33</v>
      </c>
      <c r="X57" s="9" t="s">
        <v>33</v>
      </c>
      <c r="Y57" s="9" t="s">
        <v>33</v>
      </c>
      <c r="Z57" s="9" t="s">
        <v>33</v>
      </c>
      <c r="AA57" s="9" t="s">
        <v>33</v>
      </c>
      <c r="AB57" s="9" t="s">
        <v>33</v>
      </c>
      <c r="AC57" s="9" t="s">
        <v>33</v>
      </c>
      <c r="AD57" s="9" t="s">
        <v>303</v>
      </c>
      <c r="AE57" s="9" t="s">
        <v>34</v>
      </c>
      <c r="AF57" s="56" t="s">
        <v>34</v>
      </c>
      <c r="AG57" s="87"/>
      <c r="AH57" s="72"/>
      <c r="AI57" s="74"/>
      <c r="AJ57" s="76"/>
      <c r="AK57" s="86"/>
      <c r="AL57" s="84"/>
      <c r="AM57" s="82"/>
      <c r="AN57" s="80"/>
      <c r="AO57" s="78"/>
    </row>
    <row r="58" spans="1:41">
      <c r="A58" s="117"/>
      <c r="B58" s="3" t="s">
        <v>92</v>
      </c>
      <c r="C58" s="9" t="s">
        <v>33</v>
      </c>
      <c r="D58" s="9" t="s">
        <v>33</v>
      </c>
      <c r="E58" s="9" t="s">
        <v>33</v>
      </c>
      <c r="F58" s="9" t="s">
        <v>33</v>
      </c>
      <c r="G58" s="9" t="s">
        <v>33</v>
      </c>
      <c r="H58" s="9" t="s">
        <v>33</v>
      </c>
      <c r="I58" s="9" t="s">
        <v>33</v>
      </c>
      <c r="J58" s="9" t="s">
        <v>33</v>
      </c>
      <c r="K58" s="9" t="s">
        <v>33</v>
      </c>
      <c r="L58" s="9" t="s">
        <v>33</v>
      </c>
      <c r="M58" s="9" t="s">
        <v>33</v>
      </c>
      <c r="N58" s="9" t="s">
        <v>33</v>
      </c>
      <c r="O58" s="9" t="s">
        <v>33</v>
      </c>
      <c r="P58" s="9" t="s">
        <v>33</v>
      </c>
      <c r="Q58" s="9" t="s">
        <v>33</v>
      </c>
      <c r="R58" s="9" t="s">
        <v>33</v>
      </c>
      <c r="S58" s="9" t="s">
        <v>33</v>
      </c>
      <c r="T58" s="9" t="s">
        <v>33</v>
      </c>
      <c r="U58" s="9" t="s">
        <v>33</v>
      </c>
      <c r="V58" s="9" t="s">
        <v>33</v>
      </c>
      <c r="W58" s="9" t="s">
        <v>33</v>
      </c>
      <c r="X58" s="9" t="s">
        <v>33</v>
      </c>
      <c r="Y58" s="9" t="s">
        <v>33</v>
      </c>
      <c r="Z58" s="9" t="s">
        <v>33</v>
      </c>
      <c r="AA58" s="9" t="s">
        <v>33</v>
      </c>
      <c r="AB58" s="9" t="s">
        <v>33</v>
      </c>
      <c r="AC58" s="9" t="s">
        <v>33</v>
      </c>
      <c r="AD58" s="9" t="s">
        <v>33</v>
      </c>
      <c r="AE58" s="9" t="s">
        <v>303</v>
      </c>
      <c r="AF58" s="56" t="s">
        <v>303</v>
      </c>
      <c r="AG58" s="87"/>
      <c r="AH58" s="72"/>
      <c r="AI58" s="74"/>
      <c r="AJ58" s="76"/>
      <c r="AK58" s="86"/>
      <c r="AL58" s="84"/>
      <c r="AM58" s="82"/>
      <c r="AN58" s="80"/>
      <c r="AO58" s="78"/>
    </row>
    <row r="59" spans="1:41">
      <c r="A59" s="117"/>
      <c r="B59" s="3" t="s">
        <v>93</v>
      </c>
      <c r="C59" s="9" t="s">
        <v>33</v>
      </c>
      <c r="D59" s="9" t="s">
        <v>33</v>
      </c>
      <c r="E59" s="9" t="s">
        <v>303</v>
      </c>
      <c r="F59" s="9" t="s">
        <v>33</v>
      </c>
      <c r="G59" s="9" t="s">
        <v>33</v>
      </c>
      <c r="H59" s="9" t="s">
        <v>33</v>
      </c>
      <c r="I59" s="9" t="s">
        <v>33</v>
      </c>
      <c r="J59" s="9" t="s">
        <v>33</v>
      </c>
      <c r="K59" s="9" t="s">
        <v>33</v>
      </c>
      <c r="L59" s="9" t="s">
        <v>33</v>
      </c>
      <c r="M59" s="9" t="s">
        <v>33</v>
      </c>
      <c r="N59" s="9" t="s">
        <v>33</v>
      </c>
      <c r="O59" s="9" t="s">
        <v>33</v>
      </c>
      <c r="P59" s="9" t="s">
        <v>33</v>
      </c>
      <c r="Q59" s="9" t="s">
        <v>33</v>
      </c>
      <c r="R59" s="9" t="s">
        <v>33</v>
      </c>
      <c r="S59" s="9" t="s">
        <v>33</v>
      </c>
      <c r="T59" s="9" t="s">
        <v>33</v>
      </c>
      <c r="U59" s="9" t="s">
        <v>33</v>
      </c>
      <c r="V59" s="9" t="s">
        <v>33</v>
      </c>
      <c r="W59" s="9" t="s">
        <v>33</v>
      </c>
      <c r="X59" s="9" t="s">
        <v>33</v>
      </c>
      <c r="Y59" s="9" t="s">
        <v>33</v>
      </c>
      <c r="Z59" s="9" t="s">
        <v>33</v>
      </c>
      <c r="AA59" s="9" t="s">
        <v>33</v>
      </c>
      <c r="AB59" s="9" t="s">
        <v>33</v>
      </c>
      <c r="AC59" s="9" t="s">
        <v>33</v>
      </c>
      <c r="AD59" s="9" t="s">
        <v>303</v>
      </c>
      <c r="AE59" s="9" t="s">
        <v>34</v>
      </c>
      <c r="AF59" s="56" t="s">
        <v>34</v>
      </c>
      <c r="AG59" s="87"/>
      <c r="AH59" s="72"/>
      <c r="AI59" s="74"/>
      <c r="AJ59" s="76"/>
      <c r="AK59" s="86"/>
      <c r="AL59" s="84"/>
      <c r="AM59" s="82"/>
      <c r="AN59" s="80"/>
      <c r="AO59" s="78"/>
    </row>
    <row r="60" spans="1:41">
      <c r="A60" s="117"/>
      <c r="B60" s="3" t="s">
        <v>94</v>
      </c>
      <c r="C60" s="9" t="s">
        <v>33</v>
      </c>
      <c r="D60" s="9" t="s">
        <v>33</v>
      </c>
      <c r="E60" s="9" t="s">
        <v>303</v>
      </c>
      <c r="F60" s="9" t="s">
        <v>33</v>
      </c>
      <c r="G60" s="9" t="s">
        <v>33</v>
      </c>
      <c r="H60" s="9" t="s">
        <v>33</v>
      </c>
      <c r="I60" s="9" t="s">
        <v>33</v>
      </c>
      <c r="J60" s="9" t="s">
        <v>33</v>
      </c>
      <c r="K60" s="9" t="s">
        <v>33</v>
      </c>
      <c r="L60" s="9" t="s">
        <v>33</v>
      </c>
      <c r="M60" s="9" t="s">
        <v>33</v>
      </c>
      <c r="N60" s="9" t="s">
        <v>33</v>
      </c>
      <c r="O60" s="9" t="s">
        <v>33</v>
      </c>
      <c r="P60" s="9" t="s">
        <v>33</v>
      </c>
      <c r="Q60" s="9" t="s">
        <v>33</v>
      </c>
      <c r="R60" s="9" t="s">
        <v>303</v>
      </c>
      <c r="S60" s="9" t="s">
        <v>33</v>
      </c>
      <c r="T60" s="9" t="s">
        <v>303</v>
      </c>
      <c r="U60" s="9" t="s">
        <v>33</v>
      </c>
      <c r="V60" s="9" t="s">
        <v>33</v>
      </c>
      <c r="W60" s="9" t="s">
        <v>303</v>
      </c>
      <c r="X60" s="9" t="s">
        <v>303</v>
      </c>
      <c r="Y60" s="9" t="s">
        <v>303</v>
      </c>
      <c r="Z60" s="9" t="s">
        <v>303</v>
      </c>
      <c r="AA60" s="9" t="s">
        <v>303</v>
      </c>
      <c r="AB60" s="9" t="s">
        <v>33</v>
      </c>
      <c r="AC60" s="9" t="s">
        <v>303</v>
      </c>
      <c r="AD60" s="9" t="s">
        <v>303</v>
      </c>
      <c r="AE60" s="9" t="s">
        <v>34</v>
      </c>
      <c r="AF60" s="56" t="s">
        <v>34</v>
      </c>
      <c r="AG60" s="87"/>
      <c r="AH60" s="72"/>
      <c r="AI60" s="74"/>
      <c r="AJ60" s="76"/>
      <c r="AK60" s="86"/>
      <c r="AL60" s="84"/>
      <c r="AM60" s="82"/>
      <c r="AN60" s="80"/>
      <c r="AO60" s="78"/>
    </row>
    <row r="61" spans="1:41">
      <c r="A61" s="117"/>
      <c r="B61" s="3" t="s">
        <v>95</v>
      </c>
      <c r="C61" s="9" t="s">
        <v>33</v>
      </c>
      <c r="D61" s="9" t="s">
        <v>33</v>
      </c>
      <c r="E61" s="9" t="s">
        <v>33</v>
      </c>
      <c r="F61" s="9" t="s">
        <v>33</v>
      </c>
      <c r="G61" s="9" t="s">
        <v>33</v>
      </c>
      <c r="H61" s="9" t="s">
        <v>33</v>
      </c>
      <c r="I61" s="9" t="s">
        <v>33</v>
      </c>
      <c r="J61" s="9" t="s">
        <v>33</v>
      </c>
      <c r="K61" s="9" t="s">
        <v>33</v>
      </c>
      <c r="L61" s="9" t="s">
        <v>33</v>
      </c>
      <c r="M61" s="9" t="s">
        <v>33</v>
      </c>
      <c r="N61" s="9" t="s">
        <v>33</v>
      </c>
      <c r="O61" s="9" t="s">
        <v>33</v>
      </c>
      <c r="P61" s="9" t="s">
        <v>33</v>
      </c>
      <c r="Q61" s="9" t="s">
        <v>33</v>
      </c>
      <c r="R61" s="9" t="s">
        <v>303</v>
      </c>
      <c r="S61" s="9" t="s">
        <v>33</v>
      </c>
      <c r="T61" s="9" t="s">
        <v>303</v>
      </c>
      <c r="U61" s="9" t="s">
        <v>303</v>
      </c>
      <c r="V61" s="9" t="s">
        <v>303</v>
      </c>
      <c r="W61" s="9" t="s">
        <v>303</v>
      </c>
      <c r="X61" s="9" t="s">
        <v>303</v>
      </c>
      <c r="Y61" s="9" t="s">
        <v>303</v>
      </c>
      <c r="Z61" s="9" t="s">
        <v>303</v>
      </c>
      <c r="AA61" s="9" t="s">
        <v>303</v>
      </c>
      <c r="AB61" s="9" t="s">
        <v>33</v>
      </c>
      <c r="AC61" s="9" t="s">
        <v>303</v>
      </c>
      <c r="AD61" s="9" t="s">
        <v>34</v>
      </c>
      <c r="AE61" s="9" t="s">
        <v>34</v>
      </c>
      <c r="AF61" s="56" t="s">
        <v>34</v>
      </c>
      <c r="AG61" s="87"/>
      <c r="AH61" s="49"/>
      <c r="AI61" s="74"/>
      <c r="AJ61" s="76"/>
      <c r="AK61" s="86"/>
      <c r="AL61" s="84"/>
      <c r="AM61" s="82"/>
      <c r="AN61" s="80"/>
      <c r="AO61" s="78"/>
    </row>
    <row r="62" spans="1:41">
      <c r="A62" s="117"/>
      <c r="B62" s="3" t="s">
        <v>96</v>
      </c>
      <c r="C62" s="9" t="s">
        <v>33</v>
      </c>
      <c r="D62" s="9" t="s">
        <v>33</v>
      </c>
      <c r="E62" s="9" t="s">
        <v>299</v>
      </c>
      <c r="F62" s="9" t="s">
        <v>33</v>
      </c>
      <c r="G62" s="9" t="s">
        <v>33</v>
      </c>
      <c r="H62" s="9" t="s">
        <v>33</v>
      </c>
      <c r="I62" s="9" t="s">
        <v>33</v>
      </c>
      <c r="J62" s="9" t="s">
        <v>33</v>
      </c>
      <c r="K62" s="9" t="s">
        <v>33</v>
      </c>
      <c r="L62" s="9" t="s">
        <v>33</v>
      </c>
      <c r="M62" s="9" t="s">
        <v>33</v>
      </c>
      <c r="N62" s="9" t="s">
        <v>33</v>
      </c>
      <c r="O62" s="9" t="s">
        <v>33</v>
      </c>
      <c r="P62" s="9" t="s">
        <v>33</v>
      </c>
      <c r="Q62" s="9" t="s">
        <v>33</v>
      </c>
      <c r="R62" s="9" t="s">
        <v>303</v>
      </c>
      <c r="S62" s="9" t="s">
        <v>33</v>
      </c>
      <c r="T62" s="9" t="s">
        <v>303</v>
      </c>
      <c r="U62" s="9" t="s">
        <v>303</v>
      </c>
      <c r="V62" s="9" t="s">
        <v>303</v>
      </c>
      <c r="W62" s="9" t="s">
        <v>303</v>
      </c>
      <c r="X62" s="9" t="s">
        <v>303</v>
      </c>
      <c r="Y62" s="9" t="s">
        <v>303</v>
      </c>
      <c r="Z62" s="9" t="s">
        <v>303</v>
      </c>
      <c r="AA62" s="9" t="s">
        <v>303</v>
      </c>
      <c r="AB62" s="9" t="s">
        <v>33</v>
      </c>
      <c r="AC62" s="9" t="s">
        <v>303</v>
      </c>
      <c r="AD62" s="9" t="s">
        <v>34</v>
      </c>
      <c r="AE62" s="9" t="s">
        <v>34</v>
      </c>
      <c r="AF62" s="56" t="s">
        <v>34</v>
      </c>
      <c r="AG62" s="87"/>
      <c r="AH62" s="49"/>
      <c r="AI62" s="74"/>
      <c r="AJ62" s="76"/>
      <c r="AK62" s="86"/>
      <c r="AL62" s="84"/>
      <c r="AM62" s="82"/>
      <c r="AN62" s="80"/>
      <c r="AO62" s="78"/>
    </row>
    <row r="63" spans="1:41">
      <c r="A63" s="117"/>
      <c r="B63" s="3" t="s">
        <v>97</v>
      </c>
      <c r="C63" s="9" t="s">
        <v>33</v>
      </c>
      <c r="D63" s="9" t="s">
        <v>33</v>
      </c>
      <c r="E63" s="9" t="s">
        <v>299</v>
      </c>
      <c r="F63" s="9" t="s">
        <v>33</v>
      </c>
      <c r="G63" s="9" t="s">
        <v>33</v>
      </c>
      <c r="H63" s="9" t="s">
        <v>33</v>
      </c>
      <c r="I63" s="9" t="s">
        <v>33</v>
      </c>
      <c r="J63" s="9" t="s">
        <v>33</v>
      </c>
      <c r="K63" s="9" t="s">
        <v>33</v>
      </c>
      <c r="L63" s="9" t="s">
        <v>33</v>
      </c>
      <c r="M63" s="9" t="s">
        <v>33</v>
      </c>
      <c r="N63" s="9" t="s">
        <v>33</v>
      </c>
      <c r="O63" s="9" t="s">
        <v>33</v>
      </c>
      <c r="P63" s="9" t="s">
        <v>33</v>
      </c>
      <c r="Q63" s="9" t="s">
        <v>33</v>
      </c>
      <c r="R63" s="9" t="s">
        <v>303</v>
      </c>
      <c r="S63" s="9" t="s">
        <v>303</v>
      </c>
      <c r="T63" s="9" t="s">
        <v>303</v>
      </c>
      <c r="U63" s="9" t="s">
        <v>303</v>
      </c>
      <c r="V63" s="9" t="s">
        <v>303</v>
      </c>
      <c r="W63" s="9" t="s">
        <v>303</v>
      </c>
      <c r="X63" s="9" t="s">
        <v>303</v>
      </c>
      <c r="Y63" s="9" t="s">
        <v>303</v>
      </c>
      <c r="Z63" s="9" t="s">
        <v>303</v>
      </c>
      <c r="AA63" s="9" t="s">
        <v>303</v>
      </c>
      <c r="AB63" s="9" t="s">
        <v>303</v>
      </c>
      <c r="AC63" s="9" t="s">
        <v>303</v>
      </c>
      <c r="AD63" s="9" t="s">
        <v>34</v>
      </c>
      <c r="AE63" s="9" t="s">
        <v>34</v>
      </c>
      <c r="AF63" s="56" t="s">
        <v>34</v>
      </c>
      <c r="AG63" s="87"/>
      <c r="AH63" s="50"/>
      <c r="AI63" s="74"/>
      <c r="AJ63" s="76"/>
      <c r="AK63" s="86"/>
      <c r="AL63" s="84"/>
      <c r="AM63" s="82"/>
      <c r="AN63" s="80"/>
      <c r="AO63" s="78"/>
    </row>
    <row r="64" spans="1:41" ht="15.75" customHeight="1" thickBot="1">
      <c r="A64" s="119"/>
      <c r="B64" s="23" t="s">
        <v>98</v>
      </c>
      <c r="C64" s="20" t="s">
        <v>33</v>
      </c>
      <c r="D64" s="20" t="s">
        <v>33</v>
      </c>
      <c r="E64" s="20" t="s">
        <v>299</v>
      </c>
      <c r="F64" s="20" t="s">
        <v>33</v>
      </c>
      <c r="G64" s="20" t="s">
        <v>33</v>
      </c>
      <c r="H64" s="20" t="s">
        <v>33</v>
      </c>
      <c r="I64" s="20" t="s">
        <v>33</v>
      </c>
      <c r="J64" s="20" t="s">
        <v>33</v>
      </c>
      <c r="K64" s="20" t="s">
        <v>33</v>
      </c>
      <c r="L64" s="20" t="s">
        <v>33</v>
      </c>
      <c r="M64" s="20" t="s">
        <v>33</v>
      </c>
      <c r="N64" s="20" t="s">
        <v>33</v>
      </c>
      <c r="O64" s="20" t="s">
        <v>33</v>
      </c>
      <c r="P64" s="20" t="s">
        <v>33</v>
      </c>
      <c r="Q64" s="20" t="s">
        <v>33</v>
      </c>
      <c r="R64" s="20" t="s">
        <v>303</v>
      </c>
      <c r="S64" s="20" t="s">
        <v>303</v>
      </c>
      <c r="T64" s="20" t="s">
        <v>303</v>
      </c>
      <c r="U64" s="20" t="s">
        <v>303</v>
      </c>
      <c r="V64" s="20" t="s">
        <v>303</v>
      </c>
      <c r="W64" s="20" t="s">
        <v>303</v>
      </c>
      <c r="X64" s="20" t="s">
        <v>303</v>
      </c>
      <c r="Y64" s="20" t="s">
        <v>303</v>
      </c>
      <c r="Z64" s="20" t="s">
        <v>303</v>
      </c>
      <c r="AA64" s="20" t="s">
        <v>303</v>
      </c>
      <c r="AB64" s="20" t="s">
        <v>303</v>
      </c>
      <c r="AC64" s="20" t="s">
        <v>303</v>
      </c>
      <c r="AD64" s="20" t="s">
        <v>34</v>
      </c>
      <c r="AE64" s="20" t="s">
        <v>34</v>
      </c>
      <c r="AF64" s="57" t="s">
        <v>34</v>
      </c>
      <c r="AG64" s="87"/>
      <c r="AH64" s="50"/>
      <c r="AI64" s="74"/>
      <c r="AJ64" s="76"/>
      <c r="AK64" s="86"/>
      <c r="AL64" s="84"/>
      <c r="AM64" s="82"/>
      <c r="AN64" s="80"/>
      <c r="AO64" s="78"/>
    </row>
    <row r="65" spans="1:41" ht="15" customHeight="1">
      <c r="A65" s="116" t="s">
        <v>99</v>
      </c>
      <c r="B65" s="22" t="s">
        <v>100</v>
      </c>
      <c r="C65" s="18" t="s">
        <v>33</v>
      </c>
      <c r="D65" s="18" t="s">
        <v>33</v>
      </c>
      <c r="E65" s="18" t="s">
        <v>33</v>
      </c>
      <c r="F65" s="18" t="s">
        <v>33</v>
      </c>
      <c r="G65" s="18" t="s">
        <v>33</v>
      </c>
      <c r="H65" s="18" t="s">
        <v>33</v>
      </c>
      <c r="I65" s="18" t="s">
        <v>33</v>
      </c>
      <c r="J65" s="18" t="s">
        <v>33</v>
      </c>
      <c r="K65" s="18" t="s">
        <v>33</v>
      </c>
      <c r="L65" s="18" t="s">
        <v>33</v>
      </c>
      <c r="M65" s="18" t="s">
        <v>33</v>
      </c>
      <c r="N65" s="18" t="s">
        <v>33</v>
      </c>
      <c r="O65" s="18" t="s">
        <v>33</v>
      </c>
      <c r="P65" s="18" t="s">
        <v>33</v>
      </c>
      <c r="Q65" s="18" t="s">
        <v>33</v>
      </c>
      <c r="R65" s="18" t="s">
        <v>33</v>
      </c>
      <c r="S65" s="18" t="s">
        <v>33</v>
      </c>
      <c r="T65" s="18" t="s">
        <v>33</v>
      </c>
      <c r="U65" s="18" t="s">
        <v>33</v>
      </c>
      <c r="V65" s="18" t="s">
        <v>33</v>
      </c>
      <c r="W65" s="18" t="s">
        <v>33</v>
      </c>
      <c r="X65" s="18" t="s">
        <v>33</v>
      </c>
      <c r="Y65" s="18" t="s">
        <v>33</v>
      </c>
      <c r="Z65" s="18" t="s">
        <v>33</v>
      </c>
      <c r="AA65" s="18" t="s">
        <v>33</v>
      </c>
      <c r="AB65" s="18" t="s">
        <v>33</v>
      </c>
      <c r="AC65" s="18" t="s">
        <v>33</v>
      </c>
      <c r="AD65" s="18" t="s">
        <v>34</v>
      </c>
      <c r="AE65" s="18" t="s">
        <v>34</v>
      </c>
      <c r="AF65" s="55" t="s">
        <v>34</v>
      </c>
      <c r="AG65" s="87"/>
      <c r="AH65" s="70"/>
      <c r="AI65" s="70"/>
      <c r="AJ65" s="75" t="s">
        <v>362</v>
      </c>
      <c r="AK65" s="85" t="s">
        <v>363</v>
      </c>
      <c r="AL65" s="83" t="s">
        <v>364</v>
      </c>
      <c r="AM65" s="81" t="s">
        <v>365</v>
      </c>
      <c r="AN65" s="79" t="s">
        <v>366</v>
      </c>
      <c r="AO65" s="77" t="s">
        <v>367</v>
      </c>
    </row>
    <row r="66" spans="1:41">
      <c r="A66" s="117"/>
      <c r="B66" s="3" t="s">
        <v>101</v>
      </c>
      <c r="C66" s="9" t="s">
        <v>33</v>
      </c>
      <c r="D66" s="9" t="s">
        <v>33</v>
      </c>
      <c r="E66" s="9" t="s">
        <v>33</v>
      </c>
      <c r="F66" s="9" t="s">
        <v>33</v>
      </c>
      <c r="G66" s="9" t="s">
        <v>33</v>
      </c>
      <c r="H66" s="9" t="s">
        <v>33</v>
      </c>
      <c r="I66" s="9" t="s">
        <v>33</v>
      </c>
      <c r="J66" s="9" t="s">
        <v>33</v>
      </c>
      <c r="K66" s="9" t="s">
        <v>33</v>
      </c>
      <c r="L66" s="9" t="s">
        <v>33</v>
      </c>
      <c r="M66" s="9" t="s">
        <v>33</v>
      </c>
      <c r="N66" s="9" t="s">
        <v>33</v>
      </c>
      <c r="O66" s="9" t="s">
        <v>33</v>
      </c>
      <c r="P66" s="9" t="s">
        <v>33</v>
      </c>
      <c r="Q66" s="9" t="s">
        <v>33</v>
      </c>
      <c r="R66" s="9" t="s">
        <v>33</v>
      </c>
      <c r="S66" s="9" t="s">
        <v>33</v>
      </c>
      <c r="T66" s="9" t="s">
        <v>33</v>
      </c>
      <c r="U66" s="9" t="s">
        <v>33</v>
      </c>
      <c r="V66" s="9" t="s">
        <v>33</v>
      </c>
      <c r="W66" s="9" t="s">
        <v>33</v>
      </c>
      <c r="X66" s="9" t="s">
        <v>33</v>
      </c>
      <c r="Y66" s="9" t="s">
        <v>33</v>
      </c>
      <c r="Z66" s="9" t="s">
        <v>33</v>
      </c>
      <c r="AA66" s="9" t="s">
        <v>33</v>
      </c>
      <c r="AB66" s="9" t="s">
        <v>33</v>
      </c>
      <c r="AC66" s="9" t="s">
        <v>33</v>
      </c>
      <c r="AD66" s="9" t="s">
        <v>34</v>
      </c>
      <c r="AE66" s="9" t="s">
        <v>34</v>
      </c>
      <c r="AF66" s="56" t="s">
        <v>34</v>
      </c>
      <c r="AG66" s="87"/>
      <c r="AH66" s="70"/>
      <c r="AI66" s="70"/>
      <c r="AJ66" s="76"/>
      <c r="AK66" s="86"/>
      <c r="AL66" s="84"/>
      <c r="AM66" s="82"/>
      <c r="AN66" s="80"/>
      <c r="AO66" s="78"/>
    </row>
    <row r="67" spans="1:41">
      <c r="A67" s="117"/>
      <c r="B67" s="3" t="s">
        <v>94</v>
      </c>
      <c r="C67" s="9" t="s">
        <v>33</v>
      </c>
      <c r="D67" s="9" t="s">
        <v>33</v>
      </c>
      <c r="E67" s="9" t="s">
        <v>299</v>
      </c>
      <c r="F67" s="9" t="s">
        <v>33</v>
      </c>
      <c r="G67" s="9" t="s">
        <v>33</v>
      </c>
      <c r="H67" s="9" t="s">
        <v>33</v>
      </c>
      <c r="I67" s="9" t="s">
        <v>33</v>
      </c>
      <c r="J67" s="9" t="s">
        <v>33</v>
      </c>
      <c r="K67" s="9" t="s">
        <v>33</v>
      </c>
      <c r="L67" s="9" t="s">
        <v>33</v>
      </c>
      <c r="M67" s="9" t="s">
        <v>33</v>
      </c>
      <c r="N67" s="9" t="s">
        <v>33</v>
      </c>
      <c r="O67" s="9" t="s">
        <v>33</v>
      </c>
      <c r="P67" s="9" t="s">
        <v>33</v>
      </c>
      <c r="Q67" s="9" t="s">
        <v>33</v>
      </c>
      <c r="R67" s="9" t="s">
        <v>303</v>
      </c>
      <c r="S67" s="9" t="s">
        <v>303</v>
      </c>
      <c r="T67" s="9" t="s">
        <v>303</v>
      </c>
      <c r="U67" s="9" t="s">
        <v>303</v>
      </c>
      <c r="V67" s="9" t="s">
        <v>303</v>
      </c>
      <c r="W67" s="9" t="s">
        <v>303</v>
      </c>
      <c r="X67" s="9" t="s">
        <v>303</v>
      </c>
      <c r="Y67" s="9" t="s">
        <v>303</v>
      </c>
      <c r="Z67" s="9" t="s">
        <v>303</v>
      </c>
      <c r="AA67" s="9" t="s">
        <v>303</v>
      </c>
      <c r="AB67" s="9" t="s">
        <v>303</v>
      </c>
      <c r="AC67" s="9" t="s">
        <v>303</v>
      </c>
      <c r="AD67" s="9" t="s">
        <v>34</v>
      </c>
      <c r="AE67" s="9" t="s">
        <v>34</v>
      </c>
      <c r="AF67" s="56" t="s">
        <v>34</v>
      </c>
      <c r="AG67" s="87"/>
      <c r="AH67" s="70"/>
      <c r="AI67" s="70"/>
      <c r="AJ67" s="76"/>
      <c r="AK67" s="86"/>
      <c r="AL67" s="84"/>
      <c r="AM67" s="82"/>
      <c r="AN67" s="80"/>
      <c r="AO67" s="78"/>
    </row>
    <row r="68" spans="1:41">
      <c r="A68" s="117"/>
      <c r="B68" s="3" t="s">
        <v>102</v>
      </c>
      <c r="C68" s="9" t="s">
        <v>33</v>
      </c>
      <c r="D68" s="9" t="s">
        <v>33</v>
      </c>
      <c r="E68" s="9" t="s">
        <v>303</v>
      </c>
      <c r="F68" s="9" t="s">
        <v>33</v>
      </c>
      <c r="G68" s="9" t="s">
        <v>33</v>
      </c>
      <c r="H68" s="9" t="s">
        <v>33</v>
      </c>
      <c r="I68" s="9" t="s">
        <v>33</v>
      </c>
      <c r="J68" s="9" t="s">
        <v>33</v>
      </c>
      <c r="K68" s="9" t="s">
        <v>33</v>
      </c>
      <c r="L68" s="9" t="s">
        <v>33</v>
      </c>
      <c r="M68" s="9" t="s">
        <v>33</v>
      </c>
      <c r="N68" s="9" t="s">
        <v>33</v>
      </c>
      <c r="O68" s="9" t="s">
        <v>33</v>
      </c>
      <c r="P68" s="9" t="s">
        <v>33</v>
      </c>
      <c r="Q68" s="9" t="s">
        <v>33</v>
      </c>
      <c r="R68" s="9" t="s">
        <v>34</v>
      </c>
      <c r="S68" s="9" t="s">
        <v>34</v>
      </c>
      <c r="T68" s="9" t="s">
        <v>34</v>
      </c>
      <c r="U68" s="9" t="s">
        <v>34</v>
      </c>
      <c r="V68" s="9" t="s">
        <v>34</v>
      </c>
      <c r="W68" s="9" t="s">
        <v>34</v>
      </c>
      <c r="X68" s="9" t="s">
        <v>34</v>
      </c>
      <c r="Y68" s="9" t="s">
        <v>34</v>
      </c>
      <c r="Z68" s="9" t="s">
        <v>34</v>
      </c>
      <c r="AA68" s="9" t="s">
        <v>34</v>
      </c>
      <c r="AB68" s="9" t="s">
        <v>34</v>
      </c>
      <c r="AC68" s="9" t="s">
        <v>34</v>
      </c>
      <c r="AD68" s="9" t="s">
        <v>34</v>
      </c>
      <c r="AE68" s="9" t="s">
        <v>34</v>
      </c>
      <c r="AF68" s="56" t="s">
        <v>34</v>
      </c>
      <c r="AG68" s="87"/>
      <c r="AH68" s="70"/>
      <c r="AI68" s="70"/>
      <c r="AJ68" s="76"/>
      <c r="AK68" s="86"/>
      <c r="AL68" s="84"/>
      <c r="AM68" s="82"/>
      <c r="AN68" s="80"/>
      <c r="AO68" s="78"/>
    </row>
    <row r="69" spans="1:41">
      <c r="A69" s="117"/>
      <c r="B69" s="3" t="s">
        <v>103</v>
      </c>
      <c r="C69" s="9" t="s">
        <v>33</v>
      </c>
      <c r="D69" s="9" t="s">
        <v>33</v>
      </c>
      <c r="E69" s="9" t="s">
        <v>303</v>
      </c>
      <c r="F69" s="9" t="s">
        <v>33</v>
      </c>
      <c r="G69" s="9" t="s">
        <v>33</v>
      </c>
      <c r="H69" s="9" t="s">
        <v>33</v>
      </c>
      <c r="I69" s="9" t="s">
        <v>33</v>
      </c>
      <c r="J69" s="9" t="s">
        <v>33</v>
      </c>
      <c r="K69" s="9" t="s">
        <v>33</v>
      </c>
      <c r="L69" s="9" t="s">
        <v>33</v>
      </c>
      <c r="M69" s="9" t="s">
        <v>33</v>
      </c>
      <c r="N69" s="9" t="s">
        <v>33</v>
      </c>
      <c r="O69" s="9" t="s">
        <v>33</v>
      </c>
      <c r="P69" s="9" t="s">
        <v>33</v>
      </c>
      <c r="Q69" s="9" t="s">
        <v>33</v>
      </c>
      <c r="R69" s="9" t="s">
        <v>34</v>
      </c>
      <c r="S69" s="9" t="s">
        <v>34</v>
      </c>
      <c r="T69" s="9" t="s">
        <v>34</v>
      </c>
      <c r="U69" s="9" t="s">
        <v>34</v>
      </c>
      <c r="V69" s="9" t="s">
        <v>34</v>
      </c>
      <c r="W69" s="9" t="s">
        <v>34</v>
      </c>
      <c r="X69" s="9" t="s">
        <v>34</v>
      </c>
      <c r="Y69" s="9" t="s">
        <v>34</v>
      </c>
      <c r="Z69" s="9" t="s">
        <v>34</v>
      </c>
      <c r="AA69" s="9" t="s">
        <v>34</v>
      </c>
      <c r="AB69" s="9" t="s">
        <v>34</v>
      </c>
      <c r="AC69" s="9" t="s">
        <v>34</v>
      </c>
      <c r="AD69" s="9" t="s">
        <v>34</v>
      </c>
      <c r="AE69" s="9" t="s">
        <v>34</v>
      </c>
      <c r="AF69" s="56" t="s">
        <v>34</v>
      </c>
      <c r="AG69" s="87"/>
      <c r="AH69" s="49"/>
      <c r="AI69" s="70"/>
      <c r="AJ69" s="76"/>
      <c r="AK69" s="86"/>
      <c r="AL69" s="84"/>
      <c r="AM69" s="82"/>
      <c r="AN69" s="80"/>
      <c r="AO69" s="78"/>
    </row>
    <row r="70" spans="1:41">
      <c r="A70" s="117"/>
      <c r="B70" s="3" t="s">
        <v>92</v>
      </c>
      <c r="C70" s="9" t="s">
        <v>33</v>
      </c>
      <c r="D70" s="9" t="s">
        <v>33</v>
      </c>
      <c r="E70" s="9" t="s">
        <v>33</v>
      </c>
      <c r="F70" s="9" t="s">
        <v>33</v>
      </c>
      <c r="G70" s="9" t="s">
        <v>33</v>
      </c>
      <c r="H70" s="9" t="s">
        <v>33</v>
      </c>
      <c r="I70" s="9" t="s">
        <v>33</v>
      </c>
      <c r="J70" s="9" t="s">
        <v>33</v>
      </c>
      <c r="K70" s="9" t="s">
        <v>33</v>
      </c>
      <c r="L70" s="9" t="s">
        <v>33</v>
      </c>
      <c r="M70" s="9" t="s">
        <v>33</v>
      </c>
      <c r="N70" s="9" t="s">
        <v>33</v>
      </c>
      <c r="O70" s="9" t="s">
        <v>33</v>
      </c>
      <c r="P70" s="9" t="s">
        <v>33</v>
      </c>
      <c r="Q70" s="9" t="s">
        <v>33</v>
      </c>
      <c r="R70" s="9" t="s">
        <v>34</v>
      </c>
      <c r="S70" s="9" t="s">
        <v>34</v>
      </c>
      <c r="T70" s="9" t="s">
        <v>34</v>
      </c>
      <c r="U70" s="9" t="s">
        <v>34</v>
      </c>
      <c r="V70" s="9" t="s">
        <v>34</v>
      </c>
      <c r="W70" s="9" t="s">
        <v>34</v>
      </c>
      <c r="X70" s="9" t="s">
        <v>34</v>
      </c>
      <c r="Y70" s="9" t="s">
        <v>34</v>
      </c>
      <c r="Z70" s="9" t="s">
        <v>34</v>
      </c>
      <c r="AA70" s="9" t="s">
        <v>34</v>
      </c>
      <c r="AB70" s="9" t="s">
        <v>34</v>
      </c>
      <c r="AC70" s="9" t="s">
        <v>34</v>
      </c>
      <c r="AD70" s="9" t="s">
        <v>34</v>
      </c>
      <c r="AE70" s="9" t="s">
        <v>34</v>
      </c>
      <c r="AF70" s="56" t="s">
        <v>34</v>
      </c>
      <c r="AG70" s="87"/>
      <c r="AH70" s="49"/>
      <c r="AI70" s="70"/>
      <c r="AJ70" s="76"/>
      <c r="AK70" s="86"/>
      <c r="AL70" s="84"/>
      <c r="AM70" s="82"/>
      <c r="AN70" s="80"/>
      <c r="AO70" s="78"/>
    </row>
    <row r="71" spans="1:41">
      <c r="A71" s="117"/>
      <c r="B71" s="3" t="s">
        <v>95</v>
      </c>
      <c r="C71" s="9" t="s">
        <v>33</v>
      </c>
      <c r="D71" s="9" t="s">
        <v>33</v>
      </c>
      <c r="E71" s="9" t="s">
        <v>303</v>
      </c>
      <c r="F71" s="9" t="s">
        <v>33</v>
      </c>
      <c r="G71" s="9" t="s">
        <v>33</v>
      </c>
      <c r="H71" s="9" t="s">
        <v>33</v>
      </c>
      <c r="I71" s="9" t="s">
        <v>33</v>
      </c>
      <c r="J71" s="9" t="s">
        <v>33</v>
      </c>
      <c r="K71" s="9" t="s">
        <v>33</v>
      </c>
      <c r="L71" s="9" t="s">
        <v>303</v>
      </c>
      <c r="M71" s="9" t="s">
        <v>303</v>
      </c>
      <c r="N71" s="9" t="s">
        <v>303</v>
      </c>
      <c r="O71" s="9" t="s">
        <v>303</v>
      </c>
      <c r="P71" s="9" t="s">
        <v>303</v>
      </c>
      <c r="Q71" s="9" t="s">
        <v>303</v>
      </c>
      <c r="R71" s="9" t="s">
        <v>34</v>
      </c>
      <c r="S71" s="9" t="s">
        <v>34</v>
      </c>
      <c r="T71" s="9" t="s">
        <v>34</v>
      </c>
      <c r="U71" s="9" t="s">
        <v>34</v>
      </c>
      <c r="V71" s="9" t="s">
        <v>34</v>
      </c>
      <c r="W71" s="9" t="s">
        <v>34</v>
      </c>
      <c r="X71" s="9" t="s">
        <v>34</v>
      </c>
      <c r="Y71" s="9" t="s">
        <v>34</v>
      </c>
      <c r="Z71" s="9" t="s">
        <v>34</v>
      </c>
      <c r="AA71" s="9" t="s">
        <v>34</v>
      </c>
      <c r="AB71" s="9" t="s">
        <v>34</v>
      </c>
      <c r="AC71" s="9" t="s">
        <v>34</v>
      </c>
      <c r="AD71" s="9" t="s">
        <v>34</v>
      </c>
      <c r="AE71" s="9" t="s">
        <v>34</v>
      </c>
      <c r="AF71" s="56" t="s">
        <v>34</v>
      </c>
      <c r="AG71" s="87"/>
      <c r="AH71" s="49"/>
      <c r="AI71" s="49"/>
      <c r="AJ71" s="76"/>
      <c r="AK71" s="86"/>
      <c r="AL71" s="84"/>
      <c r="AM71" s="82"/>
      <c r="AN71" s="80"/>
      <c r="AO71" s="78"/>
    </row>
    <row r="72" spans="1:41">
      <c r="A72" s="117"/>
      <c r="B72" s="3" t="s">
        <v>96</v>
      </c>
      <c r="C72" s="9" t="s">
        <v>33</v>
      </c>
      <c r="D72" s="9" t="s">
        <v>33</v>
      </c>
      <c r="E72" s="9" t="s">
        <v>299</v>
      </c>
      <c r="F72" s="9" t="s">
        <v>33</v>
      </c>
      <c r="G72" s="9" t="s">
        <v>33</v>
      </c>
      <c r="H72" s="9" t="s">
        <v>33</v>
      </c>
      <c r="I72" s="9" t="s">
        <v>33</v>
      </c>
      <c r="J72" s="9" t="s">
        <v>33</v>
      </c>
      <c r="K72" s="9" t="s">
        <v>33</v>
      </c>
      <c r="L72" s="9" t="s">
        <v>303</v>
      </c>
      <c r="M72" s="9" t="s">
        <v>303</v>
      </c>
      <c r="N72" s="9" t="s">
        <v>303</v>
      </c>
      <c r="O72" s="9" t="s">
        <v>303</v>
      </c>
      <c r="P72" s="9" t="s">
        <v>303</v>
      </c>
      <c r="Q72" s="9" t="s">
        <v>303</v>
      </c>
      <c r="R72" s="9" t="s">
        <v>34</v>
      </c>
      <c r="S72" s="9" t="s">
        <v>34</v>
      </c>
      <c r="T72" s="9" t="s">
        <v>34</v>
      </c>
      <c r="U72" s="9" t="s">
        <v>34</v>
      </c>
      <c r="V72" s="9" t="s">
        <v>34</v>
      </c>
      <c r="W72" s="9" t="s">
        <v>34</v>
      </c>
      <c r="X72" s="9" t="s">
        <v>34</v>
      </c>
      <c r="Y72" s="9" t="s">
        <v>34</v>
      </c>
      <c r="Z72" s="9" t="s">
        <v>34</v>
      </c>
      <c r="AA72" s="9" t="s">
        <v>34</v>
      </c>
      <c r="AB72" s="9" t="s">
        <v>34</v>
      </c>
      <c r="AC72" s="9" t="s">
        <v>34</v>
      </c>
      <c r="AD72" s="9" t="s">
        <v>34</v>
      </c>
      <c r="AE72" s="9" t="s">
        <v>34</v>
      </c>
      <c r="AF72" s="56" t="s">
        <v>34</v>
      </c>
      <c r="AG72" s="87"/>
      <c r="AH72" s="49"/>
      <c r="AI72" s="49"/>
      <c r="AJ72" s="76"/>
      <c r="AK72" s="86"/>
      <c r="AL72" s="84"/>
      <c r="AM72" s="82"/>
      <c r="AN72" s="80"/>
      <c r="AO72" s="78"/>
    </row>
    <row r="73" spans="1:41">
      <c r="A73" s="117"/>
      <c r="B73" s="3" t="s">
        <v>104</v>
      </c>
      <c r="C73" s="9" t="s">
        <v>33</v>
      </c>
      <c r="D73" s="9" t="s">
        <v>33</v>
      </c>
      <c r="E73" s="9" t="s">
        <v>303</v>
      </c>
      <c r="F73" s="9" t="s">
        <v>33</v>
      </c>
      <c r="G73" s="9" t="s">
        <v>33</v>
      </c>
      <c r="H73" s="9" t="s">
        <v>33</v>
      </c>
      <c r="I73" s="9" t="s">
        <v>33</v>
      </c>
      <c r="J73" s="9" t="s">
        <v>33</v>
      </c>
      <c r="K73" s="9" t="s">
        <v>33</v>
      </c>
      <c r="L73" s="9" t="s">
        <v>303</v>
      </c>
      <c r="M73" s="9" t="s">
        <v>33</v>
      </c>
      <c r="N73" s="9" t="s">
        <v>33</v>
      </c>
      <c r="O73" s="9" t="s">
        <v>33</v>
      </c>
      <c r="P73" s="9" t="s">
        <v>33</v>
      </c>
      <c r="Q73" s="9" t="s">
        <v>33</v>
      </c>
      <c r="R73" s="9" t="s">
        <v>34</v>
      </c>
      <c r="S73" s="9" t="s">
        <v>34</v>
      </c>
      <c r="T73" s="9" t="s">
        <v>34</v>
      </c>
      <c r="U73" s="9" t="s">
        <v>34</v>
      </c>
      <c r="V73" s="9" t="s">
        <v>34</v>
      </c>
      <c r="W73" s="9" t="s">
        <v>34</v>
      </c>
      <c r="X73" s="9" t="s">
        <v>34</v>
      </c>
      <c r="Y73" s="9" t="s">
        <v>34</v>
      </c>
      <c r="Z73" s="9" t="s">
        <v>34</v>
      </c>
      <c r="AA73" s="9" t="s">
        <v>34</v>
      </c>
      <c r="AB73" s="9" t="s">
        <v>34</v>
      </c>
      <c r="AC73" s="9" t="s">
        <v>34</v>
      </c>
      <c r="AD73" s="9" t="s">
        <v>34</v>
      </c>
      <c r="AE73" s="9" t="s">
        <v>34</v>
      </c>
      <c r="AF73" s="56" t="s">
        <v>34</v>
      </c>
      <c r="AG73" s="87"/>
      <c r="AH73" s="49"/>
      <c r="AI73" s="49"/>
      <c r="AJ73" s="76"/>
      <c r="AK73" s="86"/>
      <c r="AL73" s="84"/>
      <c r="AM73" s="82"/>
      <c r="AN73" s="80"/>
      <c r="AO73" s="78"/>
    </row>
    <row r="74" spans="1:41">
      <c r="A74" s="117"/>
      <c r="B74" s="3" t="s">
        <v>105</v>
      </c>
      <c r="C74" s="9" t="s">
        <v>33</v>
      </c>
      <c r="D74" s="9" t="s">
        <v>33</v>
      </c>
      <c r="E74" s="9" t="s">
        <v>303</v>
      </c>
      <c r="F74" s="9" t="s">
        <v>33</v>
      </c>
      <c r="G74" s="9" t="s">
        <v>33</v>
      </c>
      <c r="H74" s="9" t="s">
        <v>33</v>
      </c>
      <c r="I74" s="9" t="s">
        <v>33</v>
      </c>
      <c r="J74" s="9" t="s">
        <v>33</v>
      </c>
      <c r="K74" s="9" t="s">
        <v>33</v>
      </c>
      <c r="L74" s="9" t="s">
        <v>303</v>
      </c>
      <c r="M74" s="9" t="s">
        <v>33</v>
      </c>
      <c r="N74" s="9" t="s">
        <v>33</v>
      </c>
      <c r="O74" s="9" t="s">
        <v>33</v>
      </c>
      <c r="P74" s="9" t="s">
        <v>33</v>
      </c>
      <c r="Q74" s="9" t="s">
        <v>33</v>
      </c>
      <c r="R74" s="9" t="s">
        <v>34</v>
      </c>
      <c r="S74" s="9" t="s">
        <v>34</v>
      </c>
      <c r="T74" s="9" t="s">
        <v>34</v>
      </c>
      <c r="U74" s="9" t="s">
        <v>34</v>
      </c>
      <c r="V74" s="9" t="s">
        <v>34</v>
      </c>
      <c r="W74" s="9" t="s">
        <v>34</v>
      </c>
      <c r="X74" s="9" t="s">
        <v>34</v>
      </c>
      <c r="Y74" s="9" t="s">
        <v>34</v>
      </c>
      <c r="Z74" s="9" t="s">
        <v>34</v>
      </c>
      <c r="AA74" s="9" t="s">
        <v>34</v>
      </c>
      <c r="AB74" s="9" t="s">
        <v>34</v>
      </c>
      <c r="AC74" s="9" t="s">
        <v>34</v>
      </c>
      <c r="AD74" s="9" t="s">
        <v>34</v>
      </c>
      <c r="AE74" s="9" t="s">
        <v>34</v>
      </c>
      <c r="AF74" s="56" t="s">
        <v>34</v>
      </c>
      <c r="AG74" s="87"/>
      <c r="AJ74" s="76"/>
      <c r="AK74" s="86"/>
      <c r="AL74" s="84"/>
      <c r="AM74" s="82"/>
      <c r="AN74" s="80"/>
      <c r="AO74" s="78"/>
    </row>
    <row r="75" spans="1:41">
      <c r="A75" s="117"/>
      <c r="B75" s="3" t="s">
        <v>98</v>
      </c>
      <c r="C75" s="9" t="s">
        <v>33</v>
      </c>
      <c r="D75" s="9" t="s">
        <v>33</v>
      </c>
      <c r="E75" s="9" t="s">
        <v>299</v>
      </c>
      <c r="F75" s="9" t="s">
        <v>33</v>
      </c>
      <c r="G75" s="9" t="s">
        <v>33</v>
      </c>
      <c r="H75" s="9" t="s">
        <v>33</v>
      </c>
      <c r="I75" s="9" t="s">
        <v>33</v>
      </c>
      <c r="J75" s="9" t="s">
        <v>299</v>
      </c>
      <c r="K75" s="9" t="s">
        <v>299</v>
      </c>
      <c r="L75" s="9" t="s">
        <v>299</v>
      </c>
      <c r="M75" s="9" t="s">
        <v>303</v>
      </c>
      <c r="N75" s="9" t="s">
        <v>303</v>
      </c>
      <c r="O75" s="9" t="s">
        <v>303</v>
      </c>
      <c r="P75" s="9" t="s">
        <v>303</v>
      </c>
      <c r="Q75" s="9" t="s">
        <v>303</v>
      </c>
      <c r="R75" s="9" t="s">
        <v>34</v>
      </c>
      <c r="S75" s="9" t="s">
        <v>34</v>
      </c>
      <c r="T75" s="9" t="s">
        <v>34</v>
      </c>
      <c r="U75" s="9" t="s">
        <v>34</v>
      </c>
      <c r="V75" s="9" t="s">
        <v>34</v>
      </c>
      <c r="W75" s="9" t="s">
        <v>34</v>
      </c>
      <c r="X75" s="9" t="s">
        <v>34</v>
      </c>
      <c r="Y75" s="9" t="s">
        <v>34</v>
      </c>
      <c r="Z75" s="9" t="s">
        <v>34</v>
      </c>
      <c r="AA75" s="9" t="s">
        <v>34</v>
      </c>
      <c r="AB75" s="9" t="s">
        <v>34</v>
      </c>
      <c r="AC75" s="9" t="s">
        <v>34</v>
      </c>
      <c r="AD75" s="9" t="s">
        <v>34</v>
      </c>
      <c r="AE75" s="9" t="s">
        <v>34</v>
      </c>
      <c r="AF75" s="56" t="s">
        <v>34</v>
      </c>
      <c r="AG75" s="87"/>
      <c r="AJ75" s="76"/>
      <c r="AK75" s="86"/>
      <c r="AL75" s="84"/>
      <c r="AM75" s="82"/>
      <c r="AN75" s="80"/>
      <c r="AO75" s="78"/>
    </row>
    <row r="76" spans="1:41">
      <c r="A76" s="117"/>
      <c r="B76" s="3" t="s">
        <v>106</v>
      </c>
      <c r="C76" s="9" t="s">
        <v>33</v>
      </c>
      <c r="D76" s="9" t="s">
        <v>33</v>
      </c>
      <c r="E76" s="9" t="s">
        <v>299</v>
      </c>
      <c r="F76" s="9" t="s">
        <v>33</v>
      </c>
      <c r="G76" s="9" t="s">
        <v>33</v>
      </c>
      <c r="H76" s="9" t="s">
        <v>303</v>
      </c>
      <c r="I76" s="9" t="s">
        <v>303</v>
      </c>
      <c r="J76" s="9" t="s">
        <v>299</v>
      </c>
      <c r="K76" s="9" t="s">
        <v>299</v>
      </c>
      <c r="L76" s="9" t="s">
        <v>34</v>
      </c>
      <c r="M76" s="9" t="s">
        <v>303</v>
      </c>
      <c r="N76" s="9" t="s">
        <v>303</v>
      </c>
      <c r="O76" s="9" t="s">
        <v>303</v>
      </c>
      <c r="P76" s="9" t="s">
        <v>303</v>
      </c>
      <c r="Q76" s="9" t="s">
        <v>303</v>
      </c>
      <c r="R76" s="9" t="s">
        <v>34</v>
      </c>
      <c r="S76" s="9" t="s">
        <v>34</v>
      </c>
      <c r="T76" s="9" t="s">
        <v>34</v>
      </c>
      <c r="U76" s="9" t="s">
        <v>34</v>
      </c>
      <c r="V76" s="9" t="s">
        <v>34</v>
      </c>
      <c r="W76" s="9" t="s">
        <v>34</v>
      </c>
      <c r="X76" s="9" t="s">
        <v>34</v>
      </c>
      <c r="Y76" s="9" t="s">
        <v>34</v>
      </c>
      <c r="Z76" s="9" t="s">
        <v>34</v>
      </c>
      <c r="AA76" s="9" t="s">
        <v>34</v>
      </c>
      <c r="AB76" s="9" t="s">
        <v>34</v>
      </c>
      <c r="AC76" s="9" t="s">
        <v>34</v>
      </c>
      <c r="AD76" s="9" t="s">
        <v>34</v>
      </c>
      <c r="AE76" s="9" t="s">
        <v>34</v>
      </c>
      <c r="AF76" s="56" t="s">
        <v>34</v>
      </c>
      <c r="AG76" s="87"/>
      <c r="AJ76" s="76"/>
      <c r="AK76" s="86"/>
      <c r="AL76" s="84"/>
      <c r="AM76" s="82"/>
      <c r="AN76" s="80"/>
      <c r="AO76" s="78"/>
    </row>
    <row r="77" spans="1:41">
      <c r="A77" s="117"/>
      <c r="B77" s="3" t="s">
        <v>107</v>
      </c>
      <c r="C77" s="9" t="s">
        <v>33</v>
      </c>
      <c r="D77" s="9" t="s">
        <v>33</v>
      </c>
      <c r="E77" s="9" t="s">
        <v>34</v>
      </c>
      <c r="F77" s="9" t="s">
        <v>33</v>
      </c>
      <c r="G77" s="9" t="s">
        <v>33</v>
      </c>
      <c r="H77" s="9" t="s">
        <v>33</v>
      </c>
      <c r="I77" s="9" t="s">
        <v>33</v>
      </c>
      <c r="J77" s="9" t="s">
        <v>299</v>
      </c>
      <c r="K77" s="9" t="s">
        <v>299</v>
      </c>
      <c r="L77" s="9" t="s">
        <v>303</v>
      </c>
      <c r="M77" s="9" t="s">
        <v>33</v>
      </c>
      <c r="N77" s="9" t="s">
        <v>33</v>
      </c>
      <c r="O77" s="9" t="s">
        <v>33</v>
      </c>
      <c r="P77" s="9" t="s">
        <v>33</v>
      </c>
      <c r="Q77" s="9" t="s">
        <v>33</v>
      </c>
      <c r="R77" s="9" t="s">
        <v>34</v>
      </c>
      <c r="S77" s="9" t="s">
        <v>34</v>
      </c>
      <c r="T77" s="9" t="s">
        <v>34</v>
      </c>
      <c r="U77" s="9" t="s">
        <v>34</v>
      </c>
      <c r="V77" s="9" t="s">
        <v>34</v>
      </c>
      <c r="W77" s="9" t="s">
        <v>34</v>
      </c>
      <c r="X77" s="9" t="s">
        <v>34</v>
      </c>
      <c r="Y77" s="9" t="s">
        <v>34</v>
      </c>
      <c r="Z77" s="9" t="s">
        <v>34</v>
      </c>
      <c r="AA77" s="9" t="s">
        <v>34</v>
      </c>
      <c r="AB77" s="9" t="s">
        <v>34</v>
      </c>
      <c r="AC77" s="9" t="s">
        <v>34</v>
      </c>
      <c r="AD77" s="9" t="s">
        <v>34</v>
      </c>
      <c r="AE77" s="9" t="s">
        <v>34</v>
      </c>
      <c r="AF77" s="56" t="s">
        <v>34</v>
      </c>
      <c r="AG77" s="87"/>
      <c r="AJ77" s="76"/>
      <c r="AK77" s="86"/>
      <c r="AL77" s="84"/>
      <c r="AM77" s="82"/>
      <c r="AN77" s="80"/>
      <c r="AO77" s="78"/>
    </row>
    <row r="78" spans="1:41" ht="15.75" thickBot="1">
      <c r="A78" s="119"/>
      <c r="B78" s="23" t="s">
        <v>108</v>
      </c>
      <c r="C78" s="20" t="s">
        <v>33</v>
      </c>
      <c r="D78" s="20" t="s">
        <v>33</v>
      </c>
      <c r="E78" s="20" t="s">
        <v>34</v>
      </c>
      <c r="F78" s="20" t="s">
        <v>299</v>
      </c>
      <c r="G78" s="20" t="s">
        <v>33</v>
      </c>
      <c r="H78" s="20" t="s">
        <v>33</v>
      </c>
      <c r="I78" s="20" t="s">
        <v>33</v>
      </c>
      <c r="J78" s="20" t="s">
        <v>299</v>
      </c>
      <c r="K78" s="20" t="s">
        <v>299</v>
      </c>
      <c r="L78" s="20" t="s">
        <v>303</v>
      </c>
      <c r="M78" s="20" t="s">
        <v>303</v>
      </c>
      <c r="N78" s="20" t="s">
        <v>303</v>
      </c>
      <c r="O78" s="20" t="s">
        <v>33</v>
      </c>
      <c r="P78" s="20" t="s">
        <v>33</v>
      </c>
      <c r="Q78" s="20" t="s">
        <v>303</v>
      </c>
      <c r="R78" s="20" t="s">
        <v>34</v>
      </c>
      <c r="S78" s="20" t="s">
        <v>34</v>
      </c>
      <c r="T78" s="20" t="s">
        <v>34</v>
      </c>
      <c r="U78" s="20" t="s">
        <v>34</v>
      </c>
      <c r="V78" s="20" t="s">
        <v>34</v>
      </c>
      <c r="W78" s="20" t="s">
        <v>34</v>
      </c>
      <c r="X78" s="20" t="s">
        <v>34</v>
      </c>
      <c r="Y78" s="20" t="s">
        <v>34</v>
      </c>
      <c r="Z78" s="20" t="s">
        <v>34</v>
      </c>
      <c r="AA78" s="20" t="s">
        <v>34</v>
      </c>
      <c r="AB78" s="20" t="s">
        <v>34</v>
      </c>
      <c r="AC78" s="20" t="s">
        <v>34</v>
      </c>
      <c r="AD78" s="20" t="s">
        <v>34</v>
      </c>
      <c r="AE78" s="20" t="s">
        <v>34</v>
      </c>
      <c r="AF78" s="57" t="s">
        <v>34</v>
      </c>
      <c r="AG78" s="87"/>
      <c r="AJ78" s="76"/>
      <c r="AK78" s="86"/>
      <c r="AL78" s="84"/>
      <c r="AM78" s="82"/>
      <c r="AN78" s="80"/>
      <c r="AO78" s="78"/>
    </row>
    <row r="79" spans="1:41" ht="15" customHeight="1">
      <c r="A79" s="116" t="s">
        <v>109</v>
      </c>
      <c r="B79" s="22" t="s">
        <v>110</v>
      </c>
      <c r="C79" s="18" t="s">
        <v>33</v>
      </c>
      <c r="D79" s="18" t="s">
        <v>33</v>
      </c>
      <c r="E79" s="18" t="s">
        <v>33</v>
      </c>
      <c r="F79" s="18" t="s">
        <v>33</v>
      </c>
      <c r="G79" s="18" t="s">
        <v>33</v>
      </c>
      <c r="H79" s="18" t="s">
        <v>33</v>
      </c>
      <c r="I79" s="18" t="s">
        <v>33</v>
      </c>
      <c r="J79" s="18" t="s">
        <v>33</v>
      </c>
      <c r="K79" s="18" t="s">
        <v>33</v>
      </c>
      <c r="L79" s="18" t="s">
        <v>33</v>
      </c>
      <c r="M79" s="9" t="s">
        <v>303</v>
      </c>
      <c r="N79" s="9" t="s">
        <v>303</v>
      </c>
      <c r="O79" s="9" t="s">
        <v>303</v>
      </c>
      <c r="P79" s="9" t="s">
        <v>303</v>
      </c>
      <c r="Q79" s="9" t="s">
        <v>34</v>
      </c>
      <c r="R79" s="18" t="s">
        <v>34</v>
      </c>
      <c r="S79" s="18" t="s">
        <v>34</v>
      </c>
      <c r="T79" s="18" t="s">
        <v>34</v>
      </c>
      <c r="U79" s="18" t="s">
        <v>34</v>
      </c>
      <c r="V79" s="18" t="s">
        <v>34</v>
      </c>
      <c r="W79" s="18" t="s">
        <v>34</v>
      </c>
      <c r="X79" s="18" t="s">
        <v>34</v>
      </c>
      <c r="Y79" s="18" t="s">
        <v>34</v>
      </c>
      <c r="Z79" s="18" t="s">
        <v>34</v>
      </c>
      <c r="AA79" s="18" t="s">
        <v>34</v>
      </c>
      <c r="AB79" s="18" t="s">
        <v>34</v>
      </c>
      <c r="AC79" s="18" t="s">
        <v>34</v>
      </c>
      <c r="AD79" s="18" t="s">
        <v>34</v>
      </c>
      <c r="AE79" s="18" t="s">
        <v>34</v>
      </c>
      <c r="AF79" s="55" t="s">
        <v>34</v>
      </c>
      <c r="AG79" s="89"/>
      <c r="AM79" s="81" t="s">
        <v>365</v>
      </c>
      <c r="AN79" s="79" t="s">
        <v>366</v>
      </c>
      <c r="AO79" s="77" t="s">
        <v>367</v>
      </c>
    </row>
    <row r="80" spans="1:41">
      <c r="A80" s="117"/>
      <c r="B80" s="3" t="s">
        <v>111</v>
      </c>
      <c r="C80" s="9" t="s">
        <v>33</v>
      </c>
      <c r="D80" s="9" t="s">
        <v>33</v>
      </c>
      <c r="E80" s="9" t="s">
        <v>33</v>
      </c>
      <c r="F80" s="9" t="s">
        <v>33</v>
      </c>
      <c r="G80" s="9" t="s">
        <v>33</v>
      </c>
      <c r="H80" s="9" t="s">
        <v>33</v>
      </c>
      <c r="I80" s="9" t="s">
        <v>33</v>
      </c>
      <c r="J80" s="9" t="s">
        <v>33</v>
      </c>
      <c r="K80" s="9" t="s">
        <v>33</v>
      </c>
      <c r="L80" s="9" t="s">
        <v>33</v>
      </c>
      <c r="M80" s="9" t="s">
        <v>34</v>
      </c>
      <c r="N80" s="9" t="s">
        <v>34</v>
      </c>
      <c r="O80" s="9" t="s">
        <v>34</v>
      </c>
      <c r="P80" s="9" t="s">
        <v>34</v>
      </c>
      <c r="Q80" s="9" t="s">
        <v>34</v>
      </c>
      <c r="R80" s="9" t="s">
        <v>34</v>
      </c>
      <c r="S80" s="9" t="s">
        <v>34</v>
      </c>
      <c r="T80" s="9" t="s">
        <v>34</v>
      </c>
      <c r="U80" s="9" t="s">
        <v>34</v>
      </c>
      <c r="V80" s="9" t="s">
        <v>34</v>
      </c>
      <c r="W80" s="9" t="s">
        <v>34</v>
      </c>
      <c r="X80" s="9" t="s">
        <v>34</v>
      </c>
      <c r="Y80" s="9" t="s">
        <v>34</v>
      </c>
      <c r="Z80" s="9" t="s">
        <v>34</v>
      </c>
      <c r="AA80" s="9" t="s">
        <v>34</v>
      </c>
      <c r="AB80" s="9" t="s">
        <v>34</v>
      </c>
      <c r="AC80" s="9" t="s">
        <v>34</v>
      </c>
      <c r="AD80" s="9" t="s">
        <v>34</v>
      </c>
      <c r="AE80" s="9" t="s">
        <v>34</v>
      </c>
      <c r="AF80" s="56" t="s">
        <v>34</v>
      </c>
      <c r="AG80" s="89"/>
      <c r="AM80" s="82"/>
      <c r="AN80" s="80"/>
      <c r="AO80" s="78"/>
    </row>
    <row r="81" spans="1:41">
      <c r="A81" s="117"/>
      <c r="B81" s="3" t="s">
        <v>112</v>
      </c>
      <c r="C81" s="9" t="s">
        <v>33</v>
      </c>
      <c r="D81" s="9" t="s">
        <v>33</v>
      </c>
      <c r="E81" s="9" t="s">
        <v>33</v>
      </c>
      <c r="F81" s="9" t="s">
        <v>33</v>
      </c>
      <c r="G81" s="9" t="s">
        <v>33</v>
      </c>
      <c r="H81" s="9" t="s">
        <v>33</v>
      </c>
      <c r="I81" s="9" t="s">
        <v>33</v>
      </c>
      <c r="J81" s="9" t="s">
        <v>33</v>
      </c>
      <c r="K81" s="9" t="s">
        <v>33</v>
      </c>
      <c r="L81" s="9" t="s">
        <v>303</v>
      </c>
      <c r="M81" s="9" t="s">
        <v>34</v>
      </c>
      <c r="N81" s="9" t="s">
        <v>34</v>
      </c>
      <c r="O81" s="9" t="s">
        <v>34</v>
      </c>
      <c r="P81" s="9" t="s">
        <v>34</v>
      </c>
      <c r="Q81" s="9" t="s">
        <v>34</v>
      </c>
      <c r="R81" s="9" t="s">
        <v>34</v>
      </c>
      <c r="S81" s="9" t="s">
        <v>34</v>
      </c>
      <c r="T81" s="9" t="s">
        <v>34</v>
      </c>
      <c r="U81" s="9" t="s">
        <v>34</v>
      </c>
      <c r="V81" s="9" t="s">
        <v>34</v>
      </c>
      <c r="W81" s="9" t="s">
        <v>34</v>
      </c>
      <c r="X81" s="9" t="s">
        <v>34</v>
      </c>
      <c r="Y81" s="9" t="s">
        <v>34</v>
      </c>
      <c r="Z81" s="9" t="s">
        <v>34</v>
      </c>
      <c r="AA81" s="9" t="s">
        <v>34</v>
      </c>
      <c r="AB81" s="9" t="s">
        <v>34</v>
      </c>
      <c r="AC81" s="9" t="s">
        <v>34</v>
      </c>
      <c r="AD81" s="9" t="s">
        <v>34</v>
      </c>
      <c r="AE81" s="9" t="s">
        <v>34</v>
      </c>
      <c r="AF81" s="56" t="s">
        <v>34</v>
      </c>
      <c r="AG81" s="89"/>
      <c r="AM81" s="82"/>
      <c r="AN81" s="80"/>
      <c r="AO81" s="78"/>
    </row>
    <row r="82" spans="1:41">
      <c r="A82" s="117"/>
      <c r="B82" s="3" t="s">
        <v>113</v>
      </c>
      <c r="C82" s="9" t="s">
        <v>33</v>
      </c>
      <c r="D82" s="9" t="s">
        <v>33</v>
      </c>
      <c r="E82" s="9" t="s">
        <v>33</v>
      </c>
      <c r="F82" s="9" t="s">
        <v>33</v>
      </c>
      <c r="G82" s="9" t="s">
        <v>33</v>
      </c>
      <c r="H82" s="9" t="s">
        <v>33</v>
      </c>
      <c r="I82" s="9" t="s">
        <v>33</v>
      </c>
      <c r="J82" s="9" t="s">
        <v>33</v>
      </c>
      <c r="K82" s="9" t="s">
        <v>33</v>
      </c>
      <c r="L82" s="9" t="s">
        <v>33</v>
      </c>
      <c r="M82" s="9" t="s">
        <v>303</v>
      </c>
      <c r="N82" s="9" t="s">
        <v>303</v>
      </c>
      <c r="O82" s="9" t="s">
        <v>303</v>
      </c>
      <c r="P82" s="9" t="s">
        <v>303</v>
      </c>
      <c r="Q82" s="9" t="s">
        <v>303</v>
      </c>
      <c r="R82" s="9" t="s">
        <v>34</v>
      </c>
      <c r="S82" s="9" t="s">
        <v>34</v>
      </c>
      <c r="T82" s="9" t="s">
        <v>34</v>
      </c>
      <c r="U82" s="9" t="s">
        <v>34</v>
      </c>
      <c r="V82" s="9" t="s">
        <v>34</v>
      </c>
      <c r="W82" s="9" t="s">
        <v>34</v>
      </c>
      <c r="X82" s="9" t="s">
        <v>34</v>
      </c>
      <c r="Y82" s="9" t="s">
        <v>34</v>
      </c>
      <c r="Z82" s="9" t="s">
        <v>34</v>
      </c>
      <c r="AA82" s="9" t="s">
        <v>34</v>
      </c>
      <c r="AB82" s="9" t="s">
        <v>34</v>
      </c>
      <c r="AC82" s="9" t="s">
        <v>34</v>
      </c>
      <c r="AD82" s="9" t="s">
        <v>34</v>
      </c>
      <c r="AE82" s="9" t="s">
        <v>34</v>
      </c>
      <c r="AF82" s="56" t="s">
        <v>34</v>
      </c>
      <c r="AG82" s="89"/>
      <c r="AM82" s="82"/>
      <c r="AN82" s="80"/>
      <c r="AO82" s="78"/>
    </row>
    <row r="83" spans="1:41">
      <c r="A83" s="117"/>
      <c r="B83" s="3" t="s">
        <v>114</v>
      </c>
      <c r="C83" s="9" t="s">
        <v>33</v>
      </c>
      <c r="D83" s="9" t="s">
        <v>33</v>
      </c>
      <c r="E83" s="9" t="s">
        <v>303</v>
      </c>
      <c r="F83" s="9" t="s">
        <v>33</v>
      </c>
      <c r="G83" s="9" t="s">
        <v>33</v>
      </c>
      <c r="H83" s="9" t="s">
        <v>33</v>
      </c>
      <c r="I83" s="9" t="s">
        <v>303</v>
      </c>
      <c r="J83" s="9" t="s">
        <v>33</v>
      </c>
      <c r="K83" s="9" t="s">
        <v>33</v>
      </c>
      <c r="L83" s="9" t="s">
        <v>303</v>
      </c>
      <c r="M83" s="9" t="s">
        <v>34</v>
      </c>
      <c r="N83" s="9" t="s">
        <v>34</v>
      </c>
      <c r="O83" s="9" t="s">
        <v>34</v>
      </c>
      <c r="P83" s="9" t="s">
        <v>34</v>
      </c>
      <c r="Q83" s="9" t="s">
        <v>34</v>
      </c>
      <c r="R83" s="9" t="s">
        <v>34</v>
      </c>
      <c r="S83" s="9" t="s">
        <v>34</v>
      </c>
      <c r="T83" s="9" t="s">
        <v>34</v>
      </c>
      <c r="U83" s="9" t="s">
        <v>34</v>
      </c>
      <c r="V83" s="9" t="s">
        <v>34</v>
      </c>
      <c r="W83" s="9" t="s">
        <v>34</v>
      </c>
      <c r="X83" s="9" t="s">
        <v>34</v>
      </c>
      <c r="Y83" s="9" t="s">
        <v>34</v>
      </c>
      <c r="Z83" s="9" t="s">
        <v>34</v>
      </c>
      <c r="AA83" s="9" t="s">
        <v>34</v>
      </c>
      <c r="AB83" s="9" t="s">
        <v>34</v>
      </c>
      <c r="AC83" s="9" t="s">
        <v>34</v>
      </c>
      <c r="AD83" s="9" t="s">
        <v>34</v>
      </c>
      <c r="AE83" s="9" t="s">
        <v>34</v>
      </c>
      <c r="AF83" s="56" t="s">
        <v>34</v>
      </c>
      <c r="AG83" s="89"/>
      <c r="AM83" s="82"/>
      <c r="AN83" s="80"/>
      <c r="AO83" s="78"/>
    </row>
    <row r="84" spans="1:41">
      <c r="A84" s="117"/>
      <c r="B84" s="3" t="s">
        <v>115</v>
      </c>
      <c r="C84" s="9" t="s">
        <v>33</v>
      </c>
      <c r="D84" s="9" t="s">
        <v>33</v>
      </c>
      <c r="E84" s="9" t="s">
        <v>303</v>
      </c>
      <c r="F84" s="9" t="s">
        <v>33</v>
      </c>
      <c r="G84" s="9" t="s">
        <v>33</v>
      </c>
      <c r="H84" s="9" t="s">
        <v>33</v>
      </c>
      <c r="I84" s="9" t="s">
        <v>303</v>
      </c>
      <c r="J84" s="9" t="s">
        <v>33</v>
      </c>
      <c r="K84" s="9" t="s">
        <v>33</v>
      </c>
      <c r="L84" s="9" t="s">
        <v>303</v>
      </c>
      <c r="M84" s="9" t="s">
        <v>34</v>
      </c>
      <c r="N84" s="9" t="s">
        <v>34</v>
      </c>
      <c r="O84" s="9" t="s">
        <v>34</v>
      </c>
      <c r="P84" s="9" t="s">
        <v>34</v>
      </c>
      <c r="Q84" s="9" t="s">
        <v>34</v>
      </c>
      <c r="R84" s="9" t="s">
        <v>34</v>
      </c>
      <c r="S84" s="9" t="s">
        <v>34</v>
      </c>
      <c r="T84" s="9" t="s">
        <v>34</v>
      </c>
      <c r="U84" s="9" t="s">
        <v>34</v>
      </c>
      <c r="V84" s="9" t="s">
        <v>34</v>
      </c>
      <c r="W84" s="9" t="s">
        <v>34</v>
      </c>
      <c r="X84" s="9" t="s">
        <v>34</v>
      </c>
      <c r="Y84" s="9" t="s">
        <v>34</v>
      </c>
      <c r="Z84" s="9" t="s">
        <v>34</v>
      </c>
      <c r="AA84" s="9" t="s">
        <v>34</v>
      </c>
      <c r="AB84" s="9" t="s">
        <v>34</v>
      </c>
      <c r="AC84" s="9" t="s">
        <v>34</v>
      </c>
      <c r="AD84" s="9" t="s">
        <v>34</v>
      </c>
      <c r="AE84" s="9" t="s">
        <v>34</v>
      </c>
      <c r="AF84" s="56" t="s">
        <v>34</v>
      </c>
      <c r="AG84" s="89"/>
      <c r="AM84" s="82"/>
      <c r="AN84" s="80"/>
      <c r="AO84" s="78"/>
    </row>
    <row r="85" spans="1:41">
      <c r="A85" s="117"/>
      <c r="B85" s="3" t="s">
        <v>116</v>
      </c>
      <c r="C85" s="9" t="s">
        <v>33</v>
      </c>
      <c r="D85" s="9" t="s">
        <v>33</v>
      </c>
      <c r="E85" s="9" t="s">
        <v>33</v>
      </c>
      <c r="F85" s="9" t="s">
        <v>33</v>
      </c>
      <c r="G85" s="9" t="s">
        <v>33</v>
      </c>
      <c r="H85" s="9" t="s">
        <v>33</v>
      </c>
      <c r="I85" s="9" t="s">
        <v>33</v>
      </c>
      <c r="J85" s="9" t="s">
        <v>33</v>
      </c>
      <c r="K85" s="9" t="s">
        <v>33</v>
      </c>
      <c r="L85" s="9" t="s">
        <v>303</v>
      </c>
      <c r="M85" s="9" t="s">
        <v>303</v>
      </c>
      <c r="N85" s="9" t="s">
        <v>303</v>
      </c>
      <c r="O85" s="9" t="s">
        <v>303</v>
      </c>
      <c r="P85" s="9" t="s">
        <v>303</v>
      </c>
      <c r="Q85" s="9" t="s">
        <v>34</v>
      </c>
      <c r="R85" s="9" t="s">
        <v>34</v>
      </c>
      <c r="S85" s="9" t="s">
        <v>34</v>
      </c>
      <c r="T85" s="9" t="s">
        <v>34</v>
      </c>
      <c r="U85" s="9" t="s">
        <v>34</v>
      </c>
      <c r="V85" s="9" t="s">
        <v>34</v>
      </c>
      <c r="W85" s="9" t="s">
        <v>34</v>
      </c>
      <c r="X85" s="9" t="s">
        <v>34</v>
      </c>
      <c r="Y85" s="9" t="s">
        <v>34</v>
      </c>
      <c r="Z85" s="9" t="s">
        <v>34</v>
      </c>
      <c r="AA85" s="9" t="s">
        <v>34</v>
      </c>
      <c r="AB85" s="9" t="s">
        <v>34</v>
      </c>
      <c r="AC85" s="9" t="s">
        <v>34</v>
      </c>
      <c r="AD85" s="9" t="s">
        <v>34</v>
      </c>
      <c r="AE85" s="9" t="s">
        <v>34</v>
      </c>
      <c r="AF85" s="56" t="s">
        <v>34</v>
      </c>
      <c r="AG85" s="89"/>
      <c r="AM85" s="82"/>
      <c r="AN85" s="80"/>
      <c r="AO85" s="78"/>
    </row>
    <row r="86" spans="1:41">
      <c r="A86" s="117"/>
      <c r="B86" s="3" t="s">
        <v>117</v>
      </c>
      <c r="C86" s="9" t="s">
        <v>33</v>
      </c>
      <c r="D86" s="9" t="s">
        <v>33</v>
      </c>
      <c r="E86" s="9" t="s">
        <v>33</v>
      </c>
      <c r="F86" s="9" t="s">
        <v>33</v>
      </c>
      <c r="G86" s="9" t="s">
        <v>33</v>
      </c>
      <c r="H86" s="9" t="s">
        <v>33</v>
      </c>
      <c r="I86" s="9" t="s">
        <v>303</v>
      </c>
      <c r="J86" s="9" t="s">
        <v>303</v>
      </c>
      <c r="K86" s="9" t="s">
        <v>33</v>
      </c>
      <c r="L86" s="9" t="s">
        <v>303</v>
      </c>
      <c r="M86" s="9" t="s">
        <v>303</v>
      </c>
      <c r="N86" s="9" t="s">
        <v>303</v>
      </c>
      <c r="O86" s="9" t="s">
        <v>303</v>
      </c>
      <c r="P86" s="9" t="s">
        <v>303</v>
      </c>
      <c r="Q86" s="9" t="s">
        <v>34</v>
      </c>
      <c r="R86" s="9" t="s">
        <v>34</v>
      </c>
      <c r="S86" s="9" t="s">
        <v>34</v>
      </c>
      <c r="T86" s="9" t="s">
        <v>34</v>
      </c>
      <c r="U86" s="9" t="s">
        <v>34</v>
      </c>
      <c r="V86" s="9" t="s">
        <v>34</v>
      </c>
      <c r="W86" s="9" t="s">
        <v>34</v>
      </c>
      <c r="X86" s="9" t="s">
        <v>34</v>
      </c>
      <c r="Y86" s="9" t="s">
        <v>34</v>
      </c>
      <c r="Z86" s="9" t="s">
        <v>34</v>
      </c>
      <c r="AA86" s="9" t="s">
        <v>34</v>
      </c>
      <c r="AB86" s="9" t="s">
        <v>34</v>
      </c>
      <c r="AC86" s="9" t="s">
        <v>34</v>
      </c>
      <c r="AD86" s="9" t="s">
        <v>34</v>
      </c>
      <c r="AE86" s="9" t="s">
        <v>34</v>
      </c>
      <c r="AF86" s="56" t="s">
        <v>34</v>
      </c>
      <c r="AG86" s="89"/>
      <c r="AM86" s="82"/>
      <c r="AN86" s="80"/>
      <c r="AO86" s="78"/>
    </row>
    <row r="87" spans="1:41">
      <c r="A87" s="117"/>
      <c r="B87" s="3" t="s">
        <v>118</v>
      </c>
      <c r="C87" s="9" t="s">
        <v>33</v>
      </c>
      <c r="D87" s="9" t="s">
        <v>33</v>
      </c>
      <c r="E87" s="9" t="s">
        <v>303</v>
      </c>
      <c r="F87" s="9" t="s">
        <v>33</v>
      </c>
      <c r="G87" s="9" t="s">
        <v>33</v>
      </c>
      <c r="H87" s="9" t="s">
        <v>33</v>
      </c>
      <c r="I87" s="9" t="s">
        <v>303</v>
      </c>
      <c r="J87" s="9" t="s">
        <v>33</v>
      </c>
      <c r="K87" s="9" t="s">
        <v>33</v>
      </c>
      <c r="L87" s="9" t="s">
        <v>303</v>
      </c>
      <c r="M87" s="9" t="s">
        <v>34</v>
      </c>
      <c r="N87" s="9" t="s">
        <v>34</v>
      </c>
      <c r="O87" s="9" t="s">
        <v>34</v>
      </c>
      <c r="P87" s="9" t="s">
        <v>34</v>
      </c>
      <c r="Q87" s="9" t="s">
        <v>34</v>
      </c>
      <c r="R87" s="9" t="s">
        <v>34</v>
      </c>
      <c r="S87" s="9" t="s">
        <v>34</v>
      </c>
      <c r="T87" s="9" t="s">
        <v>34</v>
      </c>
      <c r="U87" s="9" t="s">
        <v>34</v>
      </c>
      <c r="V87" s="9" t="s">
        <v>34</v>
      </c>
      <c r="W87" s="9" t="s">
        <v>34</v>
      </c>
      <c r="X87" s="9" t="s">
        <v>34</v>
      </c>
      <c r="Y87" s="9" t="s">
        <v>34</v>
      </c>
      <c r="Z87" s="9" t="s">
        <v>34</v>
      </c>
      <c r="AA87" s="9" t="s">
        <v>34</v>
      </c>
      <c r="AB87" s="9" t="s">
        <v>34</v>
      </c>
      <c r="AC87" s="9" t="s">
        <v>34</v>
      </c>
      <c r="AD87" s="9" t="s">
        <v>34</v>
      </c>
      <c r="AE87" s="9" t="s">
        <v>34</v>
      </c>
      <c r="AF87" s="56" t="s">
        <v>34</v>
      </c>
      <c r="AG87" s="89"/>
      <c r="AM87" s="82"/>
      <c r="AN87" s="80"/>
      <c r="AO87" s="78"/>
    </row>
    <row r="88" spans="1:41">
      <c r="A88" s="117"/>
      <c r="B88" s="3" t="s">
        <v>119</v>
      </c>
      <c r="C88" s="9" t="s">
        <v>33</v>
      </c>
      <c r="D88" s="9" t="s">
        <v>33</v>
      </c>
      <c r="E88" s="9" t="s">
        <v>33</v>
      </c>
      <c r="F88" s="9" t="s">
        <v>33</v>
      </c>
      <c r="G88" s="9" t="s">
        <v>33</v>
      </c>
      <c r="H88" s="9" t="s">
        <v>33</v>
      </c>
      <c r="I88" s="9" t="s">
        <v>33</v>
      </c>
      <c r="J88" s="9" t="s">
        <v>33</v>
      </c>
      <c r="K88" s="9" t="s">
        <v>33</v>
      </c>
      <c r="L88" s="9" t="s">
        <v>33</v>
      </c>
      <c r="M88" s="9" t="s">
        <v>34</v>
      </c>
      <c r="N88" s="9" t="s">
        <v>34</v>
      </c>
      <c r="O88" s="9" t="s">
        <v>34</v>
      </c>
      <c r="P88" s="9" t="s">
        <v>34</v>
      </c>
      <c r="Q88" s="9" t="s">
        <v>34</v>
      </c>
      <c r="R88" s="9" t="s">
        <v>34</v>
      </c>
      <c r="S88" s="9" t="s">
        <v>34</v>
      </c>
      <c r="T88" s="9" t="s">
        <v>34</v>
      </c>
      <c r="U88" s="9" t="s">
        <v>34</v>
      </c>
      <c r="V88" s="9" t="s">
        <v>34</v>
      </c>
      <c r="W88" s="9" t="s">
        <v>34</v>
      </c>
      <c r="X88" s="9" t="s">
        <v>34</v>
      </c>
      <c r="Y88" s="9" t="s">
        <v>34</v>
      </c>
      <c r="Z88" s="9" t="s">
        <v>34</v>
      </c>
      <c r="AA88" s="9" t="s">
        <v>34</v>
      </c>
      <c r="AB88" s="9" t="s">
        <v>34</v>
      </c>
      <c r="AC88" s="9" t="s">
        <v>34</v>
      </c>
      <c r="AD88" s="9" t="s">
        <v>34</v>
      </c>
      <c r="AE88" s="9" t="s">
        <v>34</v>
      </c>
      <c r="AF88" s="56" t="s">
        <v>34</v>
      </c>
      <c r="AG88" s="89"/>
      <c r="AM88" s="82"/>
      <c r="AN88" s="80"/>
      <c r="AO88" s="78"/>
    </row>
    <row r="89" spans="1:41">
      <c r="A89" s="117"/>
      <c r="B89" s="3" t="s">
        <v>120</v>
      </c>
      <c r="C89" s="9" t="s">
        <v>33</v>
      </c>
      <c r="D89" s="9" t="s">
        <v>33</v>
      </c>
      <c r="E89" s="9" t="s">
        <v>303</v>
      </c>
      <c r="F89" s="9" t="s">
        <v>33</v>
      </c>
      <c r="G89" s="9" t="s">
        <v>33</v>
      </c>
      <c r="H89" s="9" t="s">
        <v>33</v>
      </c>
      <c r="I89" s="9" t="s">
        <v>303</v>
      </c>
      <c r="J89" s="9" t="s">
        <v>303</v>
      </c>
      <c r="K89" s="9" t="s">
        <v>33</v>
      </c>
      <c r="L89" s="9" t="s">
        <v>303</v>
      </c>
      <c r="M89" s="9" t="s">
        <v>34</v>
      </c>
      <c r="N89" s="9" t="s">
        <v>34</v>
      </c>
      <c r="O89" s="9" t="s">
        <v>34</v>
      </c>
      <c r="P89" s="9" t="s">
        <v>34</v>
      </c>
      <c r="Q89" s="9" t="s">
        <v>34</v>
      </c>
      <c r="R89" s="9" t="s">
        <v>34</v>
      </c>
      <c r="S89" s="9" t="s">
        <v>34</v>
      </c>
      <c r="T89" s="9" t="s">
        <v>34</v>
      </c>
      <c r="U89" s="9" t="s">
        <v>34</v>
      </c>
      <c r="V89" s="9" t="s">
        <v>34</v>
      </c>
      <c r="W89" s="9" t="s">
        <v>34</v>
      </c>
      <c r="X89" s="9" t="s">
        <v>34</v>
      </c>
      <c r="Y89" s="9" t="s">
        <v>34</v>
      </c>
      <c r="Z89" s="9" t="s">
        <v>34</v>
      </c>
      <c r="AA89" s="9" t="s">
        <v>34</v>
      </c>
      <c r="AB89" s="9" t="s">
        <v>34</v>
      </c>
      <c r="AC89" s="9" t="s">
        <v>34</v>
      </c>
      <c r="AD89" s="9" t="s">
        <v>34</v>
      </c>
      <c r="AE89" s="9" t="s">
        <v>34</v>
      </c>
      <c r="AF89" s="56" t="s">
        <v>34</v>
      </c>
      <c r="AG89" s="89"/>
      <c r="AM89" s="82"/>
      <c r="AN89" s="80"/>
      <c r="AO89" s="78"/>
    </row>
    <row r="90" spans="1:41">
      <c r="A90" s="117"/>
      <c r="B90" s="3" t="s">
        <v>92</v>
      </c>
      <c r="C90" s="9" t="s">
        <v>33</v>
      </c>
      <c r="D90" s="9" t="s">
        <v>33</v>
      </c>
      <c r="E90" s="9" t="s">
        <v>33</v>
      </c>
      <c r="F90" s="9" t="s">
        <v>33</v>
      </c>
      <c r="G90" s="9" t="s">
        <v>33</v>
      </c>
      <c r="H90" s="9" t="s">
        <v>33</v>
      </c>
      <c r="I90" s="9" t="s">
        <v>33</v>
      </c>
      <c r="J90" s="9" t="s">
        <v>33</v>
      </c>
      <c r="K90" s="9" t="s">
        <v>33</v>
      </c>
      <c r="L90" s="9" t="s">
        <v>33</v>
      </c>
      <c r="M90" s="9" t="s">
        <v>34</v>
      </c>
      <c r="N90" s="9" t="s">
        <v>34</v>
      </c>
      <c r="O90" s="9" t="s">
        <v>34</v>
      </c>
      <c r="P90" s="9" t="s">
        <v>34</v>
      </c>
      <c r="Q90" s="9" t="s">
        <v>34</v>
      </c>
      <c r="R90" s="9" t="s">
        <v>34</v>
      </c>
      <c r="S90" s="9" t="s">
        <v>34</v>
      </c>
      <c r="T90" s="9" t="s">
        <v>34</v>
      </c>
      <c r="U90" s="9" t="s">
        <v>34</v>
      </c>
      <c r="V90" s="9" t="s">
        <v>34</v>
      </c>
      <c r="W90" s="9" t="s">
        <v>34</v>
      </c>
      <c r="X90" s="9" t="s">
        <v>34</v>
      </c>
      <c r="Y90" s="9" t="s">
        <v>34</v>
      </c>
      <c r="Z90" s="9" t="s">
        <v>34</v>
      </c>
      <c r="AA90" s="9" t="s">
        <v>34</v>
      </c>
      <c r="AB90" s="9" t="s">
        <v>34</v>
      </c>
      <c r="AC90" s="9" t="s">
        <v>34</v>
      </c>
      <c r="AD90" s="9" t="s">
        <v>34</v>
      </c>
      <c r="AE90" s="9" t="s">
        <v>34</v>
      </c>
      <c r="AF90" s="56" t="s">
        <v>34</v>
      </c>
      <c r="AG90" s="89"/>
      <c r="AM90" s="82"/>
      <c r="AN90" s="80"/>
      <c r="AO90" s="78"/>
    </row>
    <row r="91" spans="1:41">
      <c r="A91" s="117"/>
      <c r="B91" s="3" t="s">
        <v>121</v>
      </c>
      <c r="C91" s="9" t="s">
        <v>33</v>
      </c>
      <c r="D91" s="9" t="s">
        <v>33</v>
      </c>
      <c r="E91" s="9" t="s">
        <v>299</v>
      </c>
      <c r="F91" s="9" t="s">
        <v>33</v>
      </c>
      <c r="G91" s="9" t="s">
        <v>303</v>
      </c>
      <c r="H91" s="9" t="s">
        <v>303</v>
      </c>
      <c r="I91" s="9" t="s">
        <v>34</v>
      </c>
      <c r="J91" s="9" t="s">
        <v>303</v>
      </c>
      <c r="K91" s="9" t="s">
        <v>34</v>
      </c>
      <c r="L91" s="9" t="s">
        <v>34</v>
      </c>
      <c r="M91" s="9" t="s">
        <v>34</v>
      </c>
      <c r="N91" s="9" t="s">
        <v>34</v>
      </c>
      <c r="O91" s="9" t="s">
        <v>34</v>
      </c>
      <c r="P91" s="9" t="s">
        <v>34</v>
      </c>
      <c r="Q91" s="9" t="s">
        <v>34</v>
      </c>
      <c r="R91" s="9" t="s">
        <v>34</v>
      </c>
      <c r="S91" s="9" t="s">
        <v>34</v>
      </c>
      <c r="T91" s="9" t="s">
        <v>34</v>
      </c>
      <c r="U91" s="9" t="s">
        <v>34</v>
      </c>
      <c r="V91" s="9" t="s">
        <v>34</v>
      </c>
      <c r="W91" s="9" t="s">
        <v>34</v>
      </c>
      <c r="X91" s="9" t="s">
        <v>34</v>
      </c>
      <c r="Y91" s="9" t="s">
        <v>34</v>
      </c>
      <c r="Z91" s="9" t="s">
        <v>34</v>
      </c>
      <c r="AA91" s="9" t="s">
        <v>34</v>
      </c>
      <c r="AB91" s="9" t="s">
        <v>34</v>
      </c>
      <c r="AC91" s="9" t="s">
        <v>34</v>
      </c>
      <c r="AD91" s="9" t="s">
        <v>34</v>
      </c>
      <c r="AE91" s="9" t="s">
        <v>34</v>
      </c>
      <c r="AF91" s="56" t="s">
        <v>34</v>
      </c>
      <c r="AG91" s="89"/>
      <c r="AM91" s="49"/>
      <c r="AN91" s="80"/>
      <c r="AO91" s="78"/>
    </row>
    <row r="92" spans="1:41">
      <c r="A92" s="117"/>
      <c r="B92" s="3" t="s">
        <v>122</v>
      </c>
      <c r="C92" s="9" t="s">
        <v>33</v>
      </c>
      <c r="D92" s="9" t="s">
        <v>33</v>
      </c>
      <c r="E92" s="9" t="s">
        <v>34</v>
      </c>
      <c r="F92" s="9" t="s">
        <v>34</v>
      </c>
      <c r="G92" s="9" t="s">
        <v>299</v>
      </c>
      <c r="H92" s="9" t="s">
        <v>34</v>
      </c>
      <c r="I92" s="9" t="s">
        <v>34</v>
      </c>
      <c r="J92" s="9" t="s">
        <v>34</v>
      </c>
      <c r="K92" s="9" t="s">
        <v>34</v>
      </c>
      <c r="L92" s="9" t="s">
        <v>34</v>
      </c>
      <c r="M92" s="9" t="s">
        <v>34</v>
      </c>
      <c r="N92" s="9" t="s">
        <v>34</v>
      </c>
      <c r="O92" s="9" t="s">
        <v>34</v>
      </c>
      <c r="P92" s="9" t="s">
        <v>34</v>
      </c>
      <c r="Q92" s="9" t="s">
        <v>34</v>
      </c>
      <c r="R92" s="9" t="s">
        <v>34</v>
      </c>
      <c r="S92" s="9" t="s">
        <v>34</v>
      </c>
      <c r="T92" s="9" t="s">
        <v>34</v>
      </c>
      <c r="U92" s="9" t="s">
        <v>34</v>
      </c>
      <c r="V92" s="9" t="s">
        <v>34</v>
      </c>
      <c r="W92" s="9" t="s">
        <v>34</v>
      </c>
      <c r="X92" s="9" t="s">
        <v>34</v>
      </c>
      <c r="Y92" s="9" t="s">
        <v>34</v>
      </c>
      <c r="Z92" s="9" t="s">
        <v>34</v>
      </c>
      <c r="AA92" s="9" t="s">
        <v>34</v>
      </c>
      <c r="AB92" s="9" t="s">
        <v>34</v>
      </c>
      <c r="AC92" s="9" t="s">
        <v>34</v>
      </c>
      <c r="AD92" s="9" t="s">
        <v>34</v>
      </c>
      <c r="AE92" s="9" t="s">
        <v>34</v>
      </c>
      <c r="AF92" s="56" t="s">
        <v>34</v>
      </c>
      <c r="AG92" s="89"/>
      <c r="AM92" s="49"/>
      <c r="AN92" s="80"/>
      <c r="AO92" s="78"/>
    </row>
    <row r="93" spans="1:41">
      <c r="A93" s="117"/>
      <c r="B93" s="3" t="s">
        <v>123</v>
      </c>
      <c r="C93" s="9" t="s">
        <v>33</v>
      </c>
      <c r="D93" s="9" t="s">
        <v>33</v>
      </c>
      <c r="E93" s="9" t="s">
        <v>34</v>
      </c>
      <c r="F93" s="9" t="s">
        <v>34</v>
      </c>
      <c r="G93" s="9" t="s">
        <v>299</v>
      </c>
      <c r="H93" s="9" t="s">
        <v>303</v>
      </c>
      <c r="I93" s="9" t="s">
        <v>34</v>
      </c>
      <c r="J93" s="9" t="s">
        <v>34</v>
      </c>
      <c r="K93" s="9" t="s">
        <v>34</v>
      </c>
      <c r="L93" s="9" t="s">
        <v>34</v>
      </c>
      <c r="M93" s="9" t="s">
        <v>34</v>
      </c>
      <c r="N93" s="9" t="s">
        <v>34</v>
      </c>
      <c r="O93" s="9" t="s">
        <v>34</v>
      </c>
      <c r="P93" s="9" t="s">
        <v>34</v>
      </c>
      <c r="Q93" s="9" t="s">
        <v>34</v>
      </c>
      <c r="R93" s="9" t="s">
        <v>34</v>
      </c>
      <c r="S93" s="9" t="s">
        <v>34</v>
      </c>
      <c r="T93" s="9" t="s">
        <v>34</v>
      </c>
      <c r="U93" s="9" t="s">
        <v>34</v>
      </c>
      <c r="V93" s="9" t="s">
        <v>34</v>
      </c>
      <c r="W93" s="9" t="s">
        <v>34</v>
      </c>
      <c r="X93" s="9" t="s">
        <v>34</v>
      </c>
      <c r="Y93" s="9" t="s">
        <v>34</v>
      </c>
      <c r="Z93" s="9" t="s">
        <v>34</v>
      </c>
      <c r="AA93" s="9" t="s">
        <v>34</v>
      </c>
      <c r="AB93" s="9" t="s">
        <v>34</v>
      </c>
      <c r="AC93" s="9" t="s">
        <v>34</v>
      </c>
      <c r="AD93" s="9" t="s">
        <v>34</v>
      </c>
      <c r="AE93" s="9" t="s">
        <v>34</v>
      </c>
      <c r="AF93" s="56" t="s">
        <v>34</v>
      </c>
      <c r="AG93" s="89"/>
      <c r="AM93" s="50"/>
      <c r="AN93" s="80"/>
      <c r="AO93" s="78"/>
    </row>
    <row r="94" spans="1:41">
      <c r="A94" s="117"/>
      <c r="B94" s="3" t="s">
        <v>124</v>
      </c>
      <c r="C94" s="9" t="s">
        <v>33</v>
      </c>
      <c r="D94" s="9" t="s">
        <v>34</v>
      </c>
      <c r="E94" s="9" t="s">
        <v>34</v>
      </c>
      <c r="F94" s="9" t="s">
        <v>34</v>
      </c>
      <c r="G94" s="9" t="s">
        <v>299</v>
      </c>
      <c r="H94" s="9" t="s">
        <v>34</v>
      </c>
      <c r="I94" s="9" t="s">
        <v>34</v>
      </c>
      <c r="J94" s="9" t="s">
        <v>34</v>
      </c>
      <c r="K94" s="9" t="s">
        <v>34</v>
      </c>
      <c r="L94" s="9" t="s">
        <v>34</v>
      </c>
      <c r="M94" s="9" t="s">
        <v>34</v>
      </c>
      <c r="N94" s="9" t="s">
        <v>34</v>
      </c>
      <c r="O94" s="9" t="s">
        <v>34</v>
      </c>
      <c r="P94" s="9" t="s">
        <v>34</v>
      </c>
      <c r="Q94" s="9" t="s">
        <v>34</v>
      </c>
      <c r="R94" s="9" t="s">
        <v>34</v>
      </c>
      <c r="S94" s="9" t="s">
        <v>34</v>
      </c>
      <c r="T94" s="9" t="s">
        <v>34</v>
      </c>
      <c r="U94" s="9" t="s">
        <v>34</v>
      </c>
      <c r="V94" s="9" t="s">
        <v>34</v>
      </c>
      <c r="W94" s="9" t="s">
        <v>34</v>
      </c>
      <c r="X94" s="9" t="s">
        <v>34</v>
      </c>
      <c r="Y94" s="9" t="s">
        <v>34</v>
      </c>
      <c r="Z94" s="9" t="s">
        <v>34</v>
      </c>
      <c r="AA94" s="9" t="s">
        <v>34</v>
      </c>
      <c r="AB94" s="9" t="s">
        <v>34</v>
      </c>
      <c r="AC94" s="9" t="s">
        <v>34</v>
      </c>
      <c r="AD94" s="9" t="s">
        <v>34</v>
      </c>
      <c r="AE94" s="9" t="s">
        <v>34</v>
      </c>
      <c r="AF94" s="56" t="s">
        <v>34</v>
      </c>
      <c r="AG94" s="89"/>
      <c r="AM94" s="50"/>
      <c r="AN94" s="80"/>
      <c r="AO94" s="78"/>
    </row>
    <row r="95" spans="1:41">
      <c r="A95" s="117"/>
      <c r="B95" s="3" t="s">
        <v>125</v>
      </c>
      <c r="C95" s="9" t="s">
        <v>33</v>
      </c>
      <c r="D95" s="9" t="s">
        <v>33</v>
      </c>
      <c r="E95" s="9" t="s">
        <v>34</v>
      </c>
      <c r="F95" s="9" t="s">
        <v>34</v>
      </c>
      <c r="G95" s="9" t="s">
        <v>299</v>
      </c>
      <c r="H95" s="9" t="s">
        <v>34</v>
      </c>
      <c r="I95" s="9" t="s">
        <v>34</v>
      </c>
      <c r="J95" s="9" t="s">
        <v>34</v>
      </c>
      <c r="K95" s="9" t="s">
        <v>34</v>
      </c>
      <c r="L95" s="9" t="s">
        <v>34</v>
      </c>
      <c r="M95" s="9" t="s">
        <v>34</v>
      </c>
      <c r="N95" s="9" t="s">
        <v>34</v>
      </c>
      <c r="O95" s="9" t="s">
        <v>34</v>
      </c>
      <c r="P95" s="9" t="s">
        <v>34</v>
      </c>
      <c r="Q95" s="9" t="s">
        <v>34</v>
      </c>
      <c r="R95" s="9" t="s">
        <v>34</v>
      </c>
      <c r="S95" s="9" t="s">
        <v>34</v>
      </c>
      <c r="T95" s="9" t="s">
        <v>34</v>
      </c>
      <c r="U95" s="9" t="s">
        <v>34</v>
      </c>
      <c r="V95" s="9" t="s">
        <v>34</v>
      </c>
      <c r="W95" s="9" t="s">
        <v>34</v>
      </c>
      <c r="X95" s="9" t="s">
        <v>34</v>
      </c>
      <c r="Y95" s="9" t="s">
        <v>34</v>
      </c>
      <c r="Z95" s="9" t="s">
        <v>34</v>
      </c>
      <c r="AA95" s="9" t="s">
        <v>34</v>
      </c>
      <c r="AB95" s="9" t="s">
        <v>34</v>
      </c>
      <c r="AC95" s="9" t="s">
        <v>34</v>
      </c>
      <c r="AD95" s="9" t="s">
        <v>34</v>
      </c>
      <c r="AE95" s="9" t="s">
        <v>34</v>
      </c>
      <c r="AF95" s="56" t="s">
        <v>34</v>
      </c>
      <c r="AG95" s="89"/>
      <c r="AN95" s="80"/>
      <c r="AO95" s="78"/>
    </row>
    <row r="96" spans="1:41">
      <c r="A96" s="117"/>
      <c r="B96" s="3" t="s">
        <v>126</v>
      </c>
      <c r="C96" s="9" t="s">
        <v>33</v>
      </c>
      <c r="D96" s="9" t="s">
        <v>33</v>
      </c>
      <c r="E96" s="9" t="s">
        <v>34</v>
      </c>
      <c r="F96" s="9" t="s">
        <v>303</v>
      </c>
      <c r="G96" s="9" t="s">
        <v>303</v>
      </c>
      <c r="H96" s="9" t="s">
        <v>34</v>
      </c>
      <c r="I96" s="9" t="s">
        <v>34</v>
      </c>
      <c r="J96" s="9" t="s">
        <v>34</v>
      </c>
      <c r="K96" s="9" t="s">
        <v>34</v>
      </c>
      <c r="L96" s="9" t="s">
        <v>34</v>
      </c>
      <c r="M96" s="9" t="s">
        <v>34</v>
      </c>
      <c r="N96" s="9" t="s">
        <v>34</v>
      </c>
      <c r="O96" s="9" t="s">
        <v>34</v>
      </c>
      <c r="P96" s="9" t="s">
        <v>34</v>
      </c>
      <c r="Q96" s="9" t="s">
        <v>34</v>
      </c>
      <c r="R96" s="9" t="s">
        <v>34</v>
      </c>
      <c r="S96" s="9" t="s">
        <v>34</v>
      </c>
      <c r="T96" s="9" t="s">
        <v>34</v>
      </c>
      <c r="U96" s="9" t="s">
        <v>34</v>
      </c>
      <c r="V96" s="9" t="s">
        <v>34</v>
      </c>
      <c r="W96" s="9" t="s">
        <v>34</v>
      </c>
      <c r="X96" s="9" t="s">
        <v>34</v>
      </c>
      <c r="Y96" s="9" t="s">
        <v>34</v>
      </c>
      <c r="Z96" s="9" t="s">
        <v>34</v>
      </c>
      <c r="AA96" s="9" t="s">
        <v>34</v>
      </c>
      <c r="AB96" s="9" t="s">
        <v>34</v>
      </c>
      <c r="AC96" s="9" t="s">
        <v>34</v>
      </c>
      <c r="AD96" s="9" t="s">
        <v>34</v>
      </c>
      <c r="AE96" s="9" t="s">
        <v>34</v>
      </c>
      <c r="AF96" s="56" t="s">
        <v>34</v>
      </c>
      <c r="AG96" s="89"/>
      <c r="AN96" s="80"/>
      <c r="AO96" s="78"/>
    </row>
    <row r="97" spans="1:41">
      <c r="A97" s="117"/>
      <c r="B97" s="3" t="s">
        <v>108</v>
      </c>
      <c r="C97" s="9" t="s">
        <v>33</v>
      </c>
      <c r="D97" s="9" t="s">
        <v>33</v>
      </c>
      <c r="E97" s="9" t="s">
        <v>34</v>
      </c>
      <c r="F97" s="9" t="s">
        <v>34</v>
      </c>
      <c r="G97" s="9" t="s">
        <v>34</v>
      </c>
      <c r="H97" s="9" t="s">
        <v>34</v>
      </c>
      <c r="I97" s="9" t="s">
        <v>34</v>
      </c>
      <c r="J97" s="9" t="s">
        <v>34</v>
      </c>
      <c r="K97" s="9" t="s">
        <v>34</v>
      </c>
      <c r="L97" s="9" t="s">
        <v>34</v>
      </c>
      <c r="M97" s="9" t="s">
        <v>34</v>
      </c>
      <c r="N97" s="9" t="s">
        <v>34</v>
      </c>
      <c r="O97" s="9" t="s">
        <v>34</v>
      </c>
      <c r="P97" s="9" t="s">
        <v>34</v>
      </c>
      <c r="Q97" s="9" t="s">
        <v>34</v>
      </c>
      <c r="R97" s="9" t="s">
        <v>34</v>
      </c>
      <c r="S97" s="9" t="s">
        <v>34</v>
      </c>
      <c r="T97" s="9" t="s">
        <v>34</v>
      </c>
      <c r="U97" s="9" t="s">
        <v>34</v>
      </c>
      <c r="V97" s="9" t="s">
        <v>34</v>
      </c>
      <c r="W97" s="9" t="s">
        <v>34</v>
      </c>
      <c r="X97" s="9" t="s">
        <v>34</v>
      </c>
      <c r="Y97" s="9" t="s">
        <v>34</v>
      </c>
      <c r="Z97" s="9" t="s">
        <v>34</v>
      </c>
      <c r="AA97" s="9" t="s">
        <v>34</v>
      </c>
      <c r="AB97" s="9" t="s">
        <v>34</v>
      </c>
      <c r="AC97" s="9" t="s">
        <v>34</v>
      </c>
      <c r="AD97" s="9" t="s">
        <v>34</v>
      </c>
      <c r="AE97" s="9" t="s">
        <v>34</v>
      </c>
      <c r="AF97" s="56" t="s">
        <v>34</v>
      </c>
      <c r="AG97" s="89"/>
      <c r="AN97" s="80"/>
      <c r="AO97" s="78"/>
    </row>
    <row r="98" spans="1:41">
      <c r="A98" s="117"/>
      <c r="B98" s="3" t="s">
        <v>127</v>
      </c>
      <c r="C98" s="9" t="s">
        <v>33</v>
      </c>
      <c r="D98" s="9" t="s">
        <v>34</v>
      </c>
      <c r="E98" s="9" t="s">
        <v>34</v>
      </c>
      <c r="F98" s="9" t="s">
        <v>34</v>
      </c>
      <c r="G98" s="9" t="s">
        <v>34</v>
      </c>
      <c r="H98" s="9" t="s">
        <v>34</v>
      </c>
      <c r="I98" s="9" t="s">
        <v>34</v>
      </c>
      <c r="J98" s="9" t="s">
        <v>34</v>
      </c>
      <c r="K98" s="9" t="s">
        <v>34</v>
      </c>
      <c r="L98" s="9" t="s">
        <v>34</v>
      </c>
      <c r="M98" s="9" t="s">
        <v>34</v>
      </c>
      <c r="N98" s="9" t="s">
        <v>34</v>
      </c>
      <c r="O98" s="9" t="s">
        <v>34</v>
      </c>
      <c r="P98" s="9" t="s">
        <v>34</v>
      </c>
      <c r="Q98" s="9" t="s">
        <v>34</v>
      </c>
      <c r="R98" s="9" t="s">
        <v>34</v>
      </c>
      <c r="S98" s="9" t="s">
        <v>34</v>
      </c>
      <c r="T98" s="9" t="s">
        <v>34</v>
      </c>
      <c r="U98" s="9" t="s">
        <v>34</v>
      </c>
      <c r="V98" s="9" t="s">
        <v>34</v>
      </c>
      <c r="W98" s="9" t="s">
        <v>34</v>
      </c>
      <c r="X98" s="9" t="s">
        <v>34</v>
      </c>
      <c r="Y98" s="9" t="s">
        <v>34</v>
      </c>
      <c r="Z98" s="9" t="s">
        <v>34</v>
      </c>
      <c r="AA98" s="9" t="s">
        <v>34</v>
      </c>
      <c r="AB98" s="9" t="s">
        <v>34</v>
      </c>
      <c r="AC98" s="9" t="s">
        <v>34</v>
      </c>
      <c r="AD98" s="9" t="s">
        <v>34</v>
      </c>
      <c r="AE98" s="9" t="s">
        <v>34</v>
      </c>
      <c r="AF98" s="56" t="s">
        <v>34</v>
      </c>
      <c r="AG98" s="89"/>
      <c r="AN98" s="80"/>
      <c r="AO98" s="78"/>
    </row>
    <row r="99" spans="1:41">
      <c r="A99" s="117"/>
      <c r="B99" s="3" t="s">
        <v>128</v>
      </c>
      <c r="C99" s="9" t="s">
        <v>33</v>
      </c>
      <c r="D99" s="9" t="s">
        <v>34</v>
      </c>
      <c r="E99" s="9" t="s">
        <v>34</v>
      </c>
      <c r="F99" s="9" t="s">
        <v>34</v>
      </c>
      <c r="G99" s="9" t="s">
        <v>34</v>
      </c>
      <c r="H99" s="9" t="s">
        <v>34</v>
      </c>
      <c r="I99" s="9" t="s">
        <v>34</v>
      </c>
      <c r="J99" s="9" t="s">
        <v>34</v>
      </c>
      <c r="K99" s="9" t="s">
        <v>34</v>
      </c>
      <c r="L99" s="9" t="s">
        <v>34</v>
      </c>
      <c r="M99" s="9" t="s">
        <v>34</v>
      </c>
      <c r="N99" s="9" t="s">
        <v>34</v>
      </c>
      <c r="O99" s="9" t="s">
        <v>34</v>
      </c>
      <c r="P99" s="9" t="s">
        <v>34</v>
      </c>
      <c r="Q99" s="9" t="s">
        <v>34</v>
      </c>
      <c r="R99" s="9" t="s">
        <v>34</v>
      </c>
      <c r="S99" s="9" t="s">
        <v>34</v>
      </c>
      <c r="T99" s="9" t="s">
        <v>34</v>
      </c>
      <c r="U99" s="9" t="s">
        <v>34</v>
      </c>
      <c r="V99" s="9" t="s">
        <v>34</v>
      </c>
      <c r="W99" s="9" t="s">
        <v>34</v>
      </c>
      <c r="X99" s="9" t="s">
        <v>34</v>
      </c>
      <c r="Y99" s="9" t="s">
        <v>34</v>
      </c>
      <c r="Z99" s="9" t="s">
        <v>34</v>
      </c>
      <c r="AA99" s="9" t="s">
        <v>34</v>
      </c>
      <c r="AB99" s="9" t="s">
        <v>34</v>
      </c>
      <c r="AC99" s="9" t="s">
        <v>34</v>
      </c>
      <c r="AD99" s="9" t="s">
        <v>34</v>
      </c>
      <c r="AE99" s="9" t="s">
        <v>34</v>
      </c>
      <c r="AF99" s="56" t="s">
        <v>34</v>
      </c>
      <c r="AG99" s="89"/>
      <c r="AN99" s="80"/>
      <c r="AO99" s="78"/>
    </row>
    <row r="100" spans="1:41">
      <c r="A100" s="117"/>
      <c r="B100" s="3" t="s">
        <v>129</v>
      </c>
      <c r="C100" s="9" t="s">
        <v>33</v>
      </c>
      <c r="D100" s="9" t="s">
        <v>33</v>
      </c>
      <c r="E100" s="9" t="s">
        <v>34</v>
      </c>
      <c r="F100" s="9" t="s">
        <v>303</v>
      </c>
      <c r="G100" s="9" t="s">
        <v>303</v>
      </c>
      <c r="H100" s="9" t="s">
        <v>303</v>
      </c>
      <c r="I100" s="9" t="s">
        <v>34</v>
      </c>
      <c r="J100" s="9" t="s">
        <v>34</v>
      </c>
      <c r="K100" s="9" t="s">
        <v>34</v>
      </c>
      <c r="L100" s="9" t="s">
        <v>34</v>
      </c>
      <c r="M100" s="9" t="s">
        <v>34</v>
      </c>
      <c r="N100" s="9" t="s">
        <v>34</v>
      </c>
      <c r="O100" s="9" t="s">
        <v>34</v>
      </c>
      <c r="P100" s="9" t="s">
        <v>34</v>
      </c>
      <c r="Q100" s="9" t="s">
        <v>34</v>
      </c>
      <c r="R100" s="9" t="s">
        <v>34</v>
      </c>
      <c r="S100" s="9" t="s">
        <v>34</v>
      </c>
      <c r="T100" s="9" t="s">
        <v>34</v>
      </c>
      <c r="U100" s="9" t="s">
        <v>34</v>
      </c>
      <c r="V100" s="9" t="s">
        <v>34</v>
      </c>
      <c r="W100" s="9" t="s">
        <v>34</v>
      </c>
      <c r="X100" s="9" t="s">
        <v>34</v>
      </c>
      <c r="Y100" s="9" t="s">
        <v>34</v>
      </c>
      <c r="Z100" s="9" t="s">
        <v>34</v>
      </c>
      <c r="AA100" s="9" t="s">
        <v>34</v>
      </c>
      <c r="AB100" s="9" t="s">
        <v>34</v>
      </c>
      <c r="AC100" s="9" t="s">
        <v>34</v>
      </c>
      <c r="AD100" s="9" t="s">
        <v>34</v>
      </c>
      <c r="AE100" s="9" t="s">
        <v>34</v>
      </c>
      <c r="AF100" s="56" t="s">
        <v>34</v>
      </c>
      <c r="AG100" s="89"/>
      <c r="AO100" s="78"/>
    </row>
    <row r="101" spans="1:41">
      <c r="A101" s="117"/>
      <c r="B101" s="3" t="s">
        <v>130</v>
      </c>
      <c r="C101" s="9" t="s">
        <v>34</v>
      </c>
      <c r="D101" s="9" t="s">
        <v>33</v>
      </c>
      <c r="E101" s="9" t="s">
        <v>34</v>
      </c>
      <c r="F101" s="9" t="s">
        <v>34</v>
      </c>
      <c r="G101" s="9" t="s">
        <v>34</v>
      </c>
      <c r="H101" s="9" t="s">
        <v>34</v>
      </c>
      <c r="I101" s="9" t="s">
        <v>34</v>
      </c>
      <c r="J101" s="9" t="s">
        <v>34</v>
      </c>
      <c r="K101" s="9" t="s">
        <v>34</v>
      </c>
      <c r="L101" s="9" t="s">
        <v>34</v>
      </c>
      <c r="M101" s="9" t="s">
        <v>34</v>
      </c>
      <c r="N101" s="9" t="s">
        <v>34</v>
      </c>
      <c r="O101" s="9" t="s">
        <v>34</v>
      </c>
      <c r="P101" s="9" t="s">
        <v>34</v>
      </c>
      <c r="Q101" s="9" t="s">
        <v>34</v>
      </c>
      <c r="R101" s="9" t="s">
        <v>34</v>
      </c>
      <c r="S101" s="9" t="s">
        <v>34</v>
      </c>
      <c r="T101" s="9" t="s">
        <v>34</v>
      </c>
      <c r="U101" s="9" t="s">
        <v>34</v>
      </c>
      <c r="V101" s="9" t="s">
        <v>34</v>
      </c>
      <c r="W101" s="9" t="s">
        <v>34</v>
      </c>
      <c r="X101" s="9" t="s">
        <v>34</v>
      </c>
      <c r="Y101" s="9" t="s">
        <v>34</v>
      </c>
      <c r="Z101" s="9" t="s">
        <v>34</v>
      </c>
      <c r="AA101" s="9" t="s">
        <v>34</v>
      </c>
      <c r="AB101" s="9" t="s">
        <v>34</v>
      </c>
      <c r="AC101" s="9" t="s">
        <v>34</v>
      </c>
      <c r="AD101" s="9" t="s">
        <v>34</v>
      </c>
      <c r="AE101" s="9" t="s">
        <v>34</v>
      </c>
      <c r="AF101" s="56" t="s">
        <v>34</v>
      </c>
      <c r="AG101" s="89"/>
      <c r="AO101" s="78"/>
    </row>
    <row r="102" spans="1:41">
      <c r="A102" s="117"/>
      <c r="B102" s="3" t="s">
        <v>356</v>
      </c>
      <c r="C102" s="9" t="s">
        <v>33</v>
      </c>
      <c r="D102" s="9" t="s">
        <v>34</v>
      </c>
      <c r="E102" s="9" t="s">
        <v>34</v>
      </c>
      <c r="F102" s="9" t="s">
        <v>34</v>
      </c>
      <c r="G102" s="9" t="s">
        <v>34</v>
      </c>
      <c r="H102" s="9" t="s">
        <v>34</v>
      </c>
      <c r="I102" s="9" t="s">
        <v>34</v>
      </c>
      <c r="J102" s="9" t="s">
        <v>34</v>
      </c>
      <c r="K102" s="9" t="s">
        <v>34</v>
      </c>
      <c r="L102" s="9" t="s">
        <v>34</v>
      </c>
      <c r="M102" s="9" t="s">
        <v>34</v>
      </c>
      <c r="N102" s="9" t="s">
        <v>34</v>
      </c>
      <c r="O102" s="9" t="s">
        <v>34</v>
      </c>
      <c r="P102" s="9" t="s">
        <v>34</v>
      </c>
      <c r="Q102" s="9" t="s">
        <v>34</v>
      </c>
      <c r="R102" s="9" t="s">
        <v>34</v>
      </c>
      <c r="S102" s="9" t="s">
        <v>34</v>
      </c>
      <c r="T102" s="9" t="s">
        <v>34</v>
      </c>
      <c r="U102" s="9" t="s">
        <v>34</v>
      </c>
      <c r="V102" s="9" t="s">
        <v>34</v>
      </c>
      <c r="W102" s="9" t="s">
        <v>34</v>
      </c>
      <c r="X102" s="9" t="s">
        <v>34</v>
      </c>
      <c r="Y102" s="9" t="s">
        <v>34</v>
      </c>
      <c r="Z102" s="9" t="s">
        <v>34</v>
      </c>
      <c r="AA102" s="9" t="s">
        <v>34</v>
      </c>
      <c r="AB102" s="9" t="s">
        <v>34</v>
      </c>
      <c r="AC102" s="9" t="s">
        <v>34</v>
      </c>
      <c r="AD102" s="9" t="s">
        <v>34</v>
      </c>
      <c r="AE102" s="9" t="s">
        <v>34</v>
      </c>
      <c r="AF102" s="56" t="s">
        <v>34</v>
      </c>
      <c r="AG102" s="89"/>
      <c r="AO102" s="78"/>
    </row>
    <row r="103" spans="1:41">
      <c r="A103" s="117"/>
      <c r="B103" s="3" t="s">
        <v>131</v>
      </c>
      <c r="C103" s="9" t="s">
        <v>33</v>
      </c>
      <c r="D103" s="9" t="s">
        <v>34</v>
      </c>
      <c r="E103" s="9" t="s">
        <v>34</v>
      </c>
      <c r="F103" s="9" t="s">
        <v>34</v>
      </c>
      <c r="G103" s="9" t="s">
        <v>34</v>
      </c>
      <c r="H103" s="9" t="s">
        <v>34</v>
      </c>
      <c r="I103" s="9" t="s">
        <v>34</v>
      </c>
      <c r="J103" s="9" t="s">
        <v>34</v>
      </c>
      <c r="K103" s="9" t="s">
        <v>34</v>
      </c>
      <c r="L103" s="9" t="s">
        <v>34</v>
      </c>
      <c r="M103" s="9" t="s">
        <v>34</v>
      </c>
      <c r="N103" s="9" t="s">
        <v>34</v>
      </c>
      <c r="O103" s="9" t="s">
        <v>34</v>
      </c>
      <c r="P103" s="9" t="s">
        <v>34</v>
      </c>
      <c r="Q103" s="9" t="s">
        <v>34</v>
      </c>
      <c r="R103" s="9" t="s">
        <v>34</v>
      </c>
      <c r="S103" s="9" t="s">
        <v>34</v>
      </c>
      <c r="T103" s="9" t="s">
        <v>34</v>
      </c>
      <c r="U103" s="9" t="s">
        <v>34</v>
      </c>
      <c r="V103" s="9" t="s">
        <v>34</v>
      </c>
      <c r="W103" s="9" t="s">
        <v>34</v>
      </c>
      <c r="X103" s="9" t="s">
        <v>34</v>
      </c>
      <c r="Y103" s="9" t="s">
        <v>34</v>
      </c>
      <c r="Z103" s="9" t="s">
        <v>34</v>
      </c>
      <c r="AA103" s="9" t="s">
        <v>34</v>
      </c>
      <c r="AB103" s="9" t="s">
        <v>34</v>
      </c>
      <c r="AC103" s="9" t="s">
        <v>34</v>
      </c>
      <c r="AD103" s="9" t="s">
        <v>34</v>
      </c>
      <c r="AE103" s="9" t="s">
        <v>34</v>
      </c>
      <c r="AF103" s="56" t="s">
        <v>34</v>
      </c>
      <c r="AG103" s="89"/>
      <c r="AO103" s="78"/>
    </row>
    <row r="104" spans="1:41">
      <c r="A104" s="117"/>
      <c r="B104" s="3" t="s">
        <v>132</v>
      </c>
      <c r="C104" s="9" t="s">
        <v>34</v>
      </c>
      <c r="D104" s="9" t="s">
        <v>34</v>
      </c>
      <c r="E104" s="9" t="s">
        <v>34</v>
      </c>
      <c r="F104" s="9" t="s">
        <v>34</v>
      </c>
      <c r="G104" s="9" t="s">
        <v>34</v>
      </c>
      <c r="H104" s="9" t="s">
        <v>34</v>
      </c>
      <c r="I104" s="9" t="s">
        <v>34</v>
      </c>
      <c r="J104" s="9" t="s">
        <v>34</v>
      </c>
      <c r="K104" s="9" t="s">
        <v>34</v>
      </c>
      <c r="L104" s="9" t="s">
        <v>34</v>
      </c>
      <c r="M104" s="9" t="s">
        <v>34</v>
      </c>
      <c r="N104" s="9" t="s">
        <v>34</v>
      </c>
      <c r="O104" s="9" t="s">
        <v>34</v>
      </c>
      <c r="P104" s="9" t="s">
        <v>34</v>
      </c>
      <c r="Q104" s="9" t="s">
        <v>34</v>
      </c>
      <c r="R104" s="9" t="s">
        <v>34</v>
      </c>
      <c r="S104" s="9" t="s">
        <v>34</v>
      </c>
      <c r="T104" s="9" t="s">
        <v>34</v>
      </c>
      <c r="U104" s="9" t="s">
        <v>34</v>
      </c>
      <c r="V104" s="9" t="s">
        <v>34</v>
      </c>
      <c r="W104" s="9" t="s">
        <v>34</v>
      </c>
      <c r="X104" s="9" t="s">
        <v>34</v>
      </c>
      <c r="Y104" s="9" t="s">
        <v>34</v>
      </c>
      <c r="Z104" s="9" t="s">
        <v>34</v>
      </c>
      <c r="AA104" s="9" t="s">
        <v>34</v>
      </c>
      <c r="AB104" s="9" t="s">
        <v>34</v>
      </c>
      <c r="AC104" s="9" t="s">
        <v>34</v>
      </c>
      <c r="AD104" s="9" t="s">
        <v>34</v>
      </c>
      <c r="AE104" s="9" t="s">
        <v>34</v>
      </c>
      <c r="AF104" s="56" t="s">
        <v>34</v>
      </c>
      <c r="AG104" s="89"/>
      <c r="AO104" s="78"/>
    </row>
    <row r="105" spans="1:41" ht="15.75" customHeight="1" thickBot="1">
      <c r="A105" s="119"/>
      <c r="B105" s="23" t="s">
        <v>133</v>
      </c>
      <c r="C105" s="20" t="s">
        <v>34</v>
      </c>
      <c r="D105" s="20" t="s">
        <v>34</v>
      </c>
      <c r="E105" s="20" t="s">
        <v>34</v>
      </c>
      <c r="F105" s="20" t="s">
        <v>34</v>
      </c>
      <c r="G105" s="20" t="s">
        <v>34</v>
      </c>
      <c r="H105" s="20" t="s">
        <v>34</v>
      </c>
      <c r="I105" s="20" t="s">
        <v>34</v>
      </c>
      <c r="J105" s="20" t="s">
        <v>34</v>
      </c>
      <c r="K105" s="20" t="s">
        <v>34</v>
      </c>
      <c r="L105" s="20" t="s">
        <v>34</v>
      </c>
      <c r="M105" s="20" t="s">
        <v>34</v>
      </c>
      <c r="N105" s="20" t="s">
        <v>34</v>
      </c>
      <c r="O105" s="20" t="s">
        <v>34</v>
      </c>
      <c r="P105" s="20" t="s">
        <v>34</v>
      </c>
      <c r="Q105" s="20" t="s">
        <v>34</v>
      </c>
      <c r="R105" s="20" t="s">
        <v>34</v>
      </c>
      <c r="S105" s="20" t="s">
        <v>34</v>
      </c>
      <c r="T105" s="20" t="s">
        <v>34</v>
      </c>
      <c r="U105" s="20" t="s">
        <v>34</v>
      </c>
      <c r="V105" s="20" t="s">
        <v>34</v>
      </c>
      <c r="W105" s="20" t="s">
        <v>34</v>
      </c>
      <c r="X105" s="20" t="s">
        <v>34</v>
      </c>
      <c r="Y105" s="20" t="s">
        <v>34</v>
      </c>
      <c r="Z105" s="20" t="s">
        <v>34</v>
      </c>
      <c r="AA105" s="20" t="s">
        <v>34</v>
      </c>
      <c r="AB105" s="20" t="s">
        <v>34</v>
      </c>
      <c r="AC105" s="20" t="s">
        <v>34</v>
      </c>
      <c r="AD105" s="20" t="s">
        <v>34</v>
      </c>
      <c r="AE105" s="20" t="s">
        <v>34</v>
      </c>
      <c r="AF105" s="57" t="s">
        <v>34</v>
      </c>
      <c r="AG105" s="89"/>
      <c r="AO105" s="78"/>
    </row>
    <row r="106" spans="1:41" ht="15.75" customHeight="1" thickBot="1">
      <c r="A106" s="61"/>
      <c r="B106"/>
      <c r="AF106" s="62"/>
    </row>
    <row r="107" spans="1:41" ht="15.75" customHeight="1" thickBot="1">
      <c r="A107" s="123" t="s">
        <v>134</v>
      </c>
      <c r="B107" s="124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6"/>
    </row>
    <row r="108" spans="1:41" ht="15" customHeight="1">
      <c r="A108" s="116" t="s">
        <v>135</v>
      </c>
      <c r="B108" s="24" t="s">
        <v>136</v>
      </c>
      <c r="C108" s="18" t="s">
        <v>33</v>
      </c>
      <c r="D108" s="18" t="s">
        <v>33</v>
      </c>
      <c r="E108" s="18" t="s">
        <v>33</v>
      </c>
      <c r="F108" s="18" t="s">
        <v>33</v>
      </c>
      <c r="G108" s="18" t="s">
        <v>33</v>
      </c>
      <c r="H108" s="18" t="s">
        <v>33</v>
      </c>
      <c r="I108" s="18" t="s">
        <v>33</v>
      </c>
      <c r="J108" s="18" t="s">
        <v>33</v>
      </c>
      <c r="K108" s="18" t="s">
        <v>33</v>
      </c>
      <c r="L108" s="18" t="s">
        <v>33</v>
      </c>
      <c r="M108" s="18" t="s">
        <v>33</v>
      </c>
      <c r="N108" s="18" t="s">
        <v>33</v>
      </c>
      <c r="O108" s="18" t="s">
        <v>33</v>
      </c>
      <c r="P108" s="18" t="s">
        <v>33</v>
      </c>
      <c r="Q108" s="18" t="s">
        <v>33</v>
      </c>
      <c r="R108" s="18" t="s">
        <v>33</v>
      </c>
      <c r="S108" s="18" t="s">
        <v>33</v>
      </c>
      <c r="T108" s="18" t="s">
        <v>33</v>
      </c>
      <c r="U108" s="18" t="s">
        <v>33</v>
      </c>
      <c r="V108" s="18" t="s">
        <v>33</v>
      </c>
      <c r="W108" s="18" t="s">
        <v>33</v>
      </c>
      <c r="X108" s="18" t="s">
        <v>33</v>
      </c>
      <c r="Y108" s="18" t="s">
        <v>33</v>
      </c>
      <c r="Z108" s="18" t="s">
        <v>33</v>
      </c>
      <c r="AA108" s="18" t="s">
        <v>33</v>
      </c>
      <c r="AB108" s="18" t="s">
        <v>33</v>
      </c>
      <c r="AC108" s="18" t="s">
        <v>33</v>
      </c>
      <c r="AD108" s="18" t="s">
        <v>33</v>
      </c>
      <c r="AE108" s="18" t="s">
        <v>33</v>
      </c>
      <c r="AF108" s="55" t="s">
        <v>33</v>
      </c>
      <c r="AG108" s="69" t="s">
        <v>359</v>
      </c>
      <c r="AH108" s="71" t="s">
        <v>360</v>
      </c>
      <c r="AI108" s="73" t="s">
        <v>361</v>
      </c>
      <c r="AJ108" s="75" t="s">
        <v>362</v>
      </c>
      <c r="AK108" s="85" t="s">
        <v>363</v>
      </c>
      <c r="AL108" s="83" t="s">
        <v>364</v>
      </c>
      <c r="AM108" s="81" t="s">
        <v>365</v>
      </c>
      <c r="AN108" s="79" t="s">
        <v>366</v>
      </c>
      <c r="AO108" s="77" t="s">
        <v>367</v>
      </c>
    </row>
    <row r="109" spans="1:41">
      <c r="A109" s="117"/>
      <c r="B109" s="4" t="s">
        <v>137</v>
      </c>
      <c r="C109" s="9" t="s">
        <v>33</v>
      </c>
      <c r="D109" s="9" t="s">
        <v>33</v>
      </c>
      <c r="E109" s="9" t="s">
        <v>33</v>
      </c>
      <c r="F109" s="9" t="s">
        <v>33</v>
      </c>
      <c r="G109" s="9" t="s">
        <v>33</v>
      </c>
      <c r="H109" s="9" t="s">
        <v>33</v>
      </c>
      <c r="I109" s="9" t="s">
        <v>33</v>
      </c>
      <c r="J109" s="9" t="s">
        <v>33</v>
      </c>
      <c r="K109" s="9" t="s">
        <v>33</v>
      </c>
      <c r="L109" s="9" t="s">
        <v>33</v>
      </c>
      <c r="M109" s="9" t="s">
        <v>33</v>
      </c>
      <c r="N109" s="9" t="s">
        <v>33</v>
      </c>
      <c r="O109" s="9" t="s">
        <v>33</v>
      </c>
      <c r="P109" s="9" t="s">
        <v>33</v>
      </c>
      <c r="Q109" s="9" t="s">
        <v>33</v>
      </c>
      <c r="R109" s="9" t="s">
        <v>33</v>
      </c>
      <c r="S109" s="9" t="s">
        <v>33</v>
      </c>
      <c r="T109" s="9" t="s">
        <v>33</v>
      </c>
      <c r="U109" s="9" t="s">
        <v>33</v>
      </c>
      <c r="V109" s="9" t="s">
        <v>33</v>
      </c>
      <c r="W109" s="9" t="s">
        <v>33</v>
      </c>
      <c r="X109" s="9" t="s">
        <v>33</v>
      </c>
      <c r="Y109" s="9" t="s">
        <v>33</v>
      </c>
      <c r="Z109" s="9" t="s">
        <v>33</v>
      </c>
      <c r="AA109" s="9" t="s">
        <v>33</v>
      </c>
      <c r="AB109" s="9" t="s">
        <v>33</v>
      </c>
      <c r="AC109" s="9" t="s">
        <v>33</v>
      </c>
      <c r="AD109" s="9" t="s">
        <v>33</v>
      </c>
      <c r="AE109" s="9" t="s">
        <v>33</v>
      </c>
      <c r="AF109" s="56" t="s">
        <v>33</v>
      </c>
      <c r="AG109" s="69"/>
      <c r="AH109" s="72"/>
      <c r="AI109" s="74"/>
      <c r="AJ109" s="76"/>
      <c r="AK109" s="86"/>
      <c r="AL109" s="84"/>
      <c r="AM109" s="82"/>
      <c r="AN109" s="80"/>
      <c r="AO109" s="78"/>
    </row>
    <row r="110" spans="1:41">
      <c r="A110" s="117"/>
      <c r="B110" s="4" t="s">
        <v>138</v>
      </c>
      <c r="C110" s="9" t="s">
        <v>33</v>
      </c>
      <c r="D110" s="9" t="s">
        <v>33</v>
      </c>
      <c r="E110" s="9" t="s">
        <v>33</v>
      </c>
      <c r="F110" s="9" t="s">
        <v>33</v>
      </c>
      <c r="G110" s="9" t="s">
        <v>33</v>
      </c>
      <c r="H110" s="9" t="s">
        <v>33</v>
      </c>
      <c r="I110" s="9" t="s">
        <v>33</v>
      </c>
      <c r="J110" s="9" t="s">
        <v>33</v>
      </c>
      <c r="K110" s="9" t="s">
        <v>33</v>
      </c>
      <c r="L110" s="9" t="s">
        <v>33</v>
      </c>
      <c r="M110" s="9" t="s">
        <v>33</v>
      </c>
      <c r="N110" s="9" t="s">
        <v>33</v>
      </c>
      <c r="O110" s="9" t="s">
        <v>33</v>
      </c>
      <c r="P110" s="9" t="s">
        <v>33</v>
      </c>
      <c r="Q110" s="9" t="s">
        <v>33</v>
      </c>
      <c r="R110" s="9" t="s">
        <v>33</v>
      </c>
      <c r="S110" s="9" t="s">
        <v>33</v>
      </c>
      <c r="T110" s="9" t="s">
        <v>33</v>
      </c>
      <c r="U110" s="9" t="s">
        <v>33</v>
      </c>
      <c r="V110" s="9" t="s">
        <v>33</v>
      </c>
      <c r="W110" s="9" t="s">
        <v>33</v>
      </c>
      <c r="X110" s="9" t="s">
        <v>33</v>
      </c>
      <c r="Y110" s="9" t="s">
        <v>33</v>
      </c>
      <c r="Z110" s="9" t="s">
        <v>33</v>
      </c>
      <c r="AA110" s="9" t="s">
        <v>33</v>
      </c>
      <c r="AB110" s="9" t="s">
        <v>33</v>
      </c>
      <c r="AC110" s="9" t="s">
        <v>33</v>
      </c>
      <c r="AD110" s="9" t="s">
        <v>33</v>
      </c>
      <c r="AE110" s="9" t="s">
        <v>33</v>
      </c>
      <c r="AF110" s="56" t="s">
        <v>33</v>
      </c>
      <c r="AG110" s="69"/>
      <c r="AH110" s="72"/>
      <c r="AI110" s="74"/>
      <c r="AJ110" s="76"/>
      <c r="AK110" s="86"/>
      <c r="AL110" s="84"/>
      <c r="AM110" s="82"/>
      <c r="AN110" s="80"/>
      <c r="AO110" s="78"/>
    </row>
    <row r="111" spans="1:41">
      <c r="A111" s="117"/>
      <c r="B111" s="4" t="s">
        <v>139</v>
      </c>
      <c r="C111" s="9" t="s">
        <v>33</v>
      </c>
      <c r="D111" s="9" t="s">
        <v>33</v>
      </c>
      <c r="E111" s="9" t="s">
        <v>33</v>
      </c>
      <c r="F111" s="9" t="s">
        <v>33</v>
      </c>
      <c r="G111" s="9" t="s">
        <v>33</v>
      </c>
      <c r="H111" s="9" t="s">
        <v>33</v>
      </c>
      <c r="I111" s="9" t="s">
        <v>33</v>
      </c>
      <c r="J111" s="9" t="s">
        <v>33</v>
      </c>
      <c r="K111" s="9" t="s">
        <v>33</v>
      </c>
      <c r="L111" s="9" t="s">
        <v>33</v>
      </c>
      <c r="M111" s="9" t="s">
        <v>33</v>
      </c>
      <c r="N111" s="9" t="s">
        <v>33</v>
      </c>
      <c r="O111" s="9" t="s">
        <v>33</v>
      </c>
      <c r="P111" s="9" t="s">
        <v>33</v>
      </c>
      <c r="Q111" s="9" t="s">
        <v>33</v>
      </c>
      <c r="R111" s="9" t="s">
        <v>33</v>
      </c>
      <c r="S111" s="9" t="s">
        <v>33</v>
      </c>
      <c r="T111" s="9" t="s">
        <v>33</v>
      </c>
      <c r="U111" s="9" t="s">
        <v>33</v>
      </c>
      <c r="V111" s="9" t="s">
        <v>33</v>
      </c>
      <c r="W111" s="9" t="s">
        <v>33</v>
      </c>
      <c r="X111" s="9" t="s">
        <v>33</v>
      </c>
      <c r="Y111" s="9" t="s">
        <v>33</v>
      </c>
      <c r="Z111" s="9" t="s">
        <v>33</v>
      </c>
      <c r="AA111" s="9" t="s">
        <v>33</v>
      </c>
      <c r="AB111" s="9" t="s">
        <v>33</v>
      </c>
      <c r="AC111" s="9" t="s">
        <v>33</v>
      </c>
      <c r="AD111" s="9" t="s">
        <v>303</v>
      </c>
      <c r="AE111" s="9" t="s">
        <v>303</v>
      </c>
      <c r="AF111" s="56" t="s">
        <v>303</v>
      </c>
      <c r="AG111" s="69"/>
      <c r="AH111" s="72"/>
      <c r="AI111" s="74"/>
      <c r="AJ111" s="76"/>
      <c r="AK111" s="86"/>
      <c r="AL111" s="84"/>
      <c r="AM111" s="82"/>
      <c r="AN111" s="80"/>
      <c r="AO111" s="78"/>
    </row>
    <row r="112" spans="1:41">
      <c r="A112" s="117"/>
      <c r="B112" s="4" t="s">
        <v>140</v>
      </c>
      <c r="C112" s="9" t="s">
        <v>33</v>
      </c>
      <c r="D112" s="9" t="s">
        <v>33</v>
      </c>
      <c r="E112" s="9" t="s">
        <v>33</v>
      </c>
      <c r="F112" s="9" t="s">
        <v>33</v>
      </c>
      <c r="G112" s="9" t="s">
        <v>33</v>
      </c>
      <c r="H112" s="9" t="s">
        <v>33</v>
      </c>
      <c r="I112" s="9" t="s">
        <v>33</v>
      </c>
      <c r="J112" s="9" t="s">
        <v>33</v>
      </c>
      <c r="K112" s="9" t="s">
        <v>33</v>
      </c>
      <c r="L112" s="9" t="s">
        <v>33</v>
      </c>
      <c r="M112" s="9" t="s">
        <v>33</v>
      </c>
      <c r="N112" s="9" t="s">
        <v>33</v>
      </c>
      <c r="O112" s="9" t="s">
        <v>33</v>
      </c>
      <c r="P112" s="9" t="s">
        <v>33</v>
      </c>
      <c r="Q112" s="9" t="s">
        <v>33</v>
      </c>
      <c r="R112" s="9" t="s">
        <v>33</v>
      </c>
      <c r="S112" s="9" t="s">
        <v>33</v>
      </c>
      <c r="T112" s="9" t="s">
        <v>33</v>
      </c>
      <c r="U112" s="9" t="s">
        <v>299</v>
      </c>
      <c r="V112" s="9" t="s">
        <v>33</v>
      </c>
      <c r="W112" s="9" t="s">
        <v>33</v>
      </c>
      <c r="X112" s="9" t="s">
        <v>33</v>
      </c>
      <c r="Y112" s="9" t="s">
        <v>299</v>
      </c>
      <c r="Z112" s="9" t="s">
        <v>33</v>
      </c>
      <c r="AA112" s="9" t="s">
        <v>299</v>
      </c>
      <c r="AB112" s="9" t="s">
        <v>299</v>
      </c>
      <c r="AC112" s="9" t="s">
        <v>299</v>
      </c>
      <c r="AD112" s="9" t="s">
        <v>303</v>
      </c>
      <c r="AE112" s="9" t="s">
        <v>303</v>
      </c>
      <c r="AF112" s="47" t="s">
        <v>303</v>
      </c>
      <c r="AG112" s="70"/>
      <c r="AH112" s="72"/>
      <c r="AI112" s="74"/>
      <c r="AJ112" s="76"/>
      <c r="AK112" s="86"/>
      <c r="AL112" s="84"/>
      <c r="AM112" s="82"/>
      <c r="AN112" s="80"/>
      <c r="AO112" s="78"/>
    </row>
    <row r="113" spans="1:41">
      <c r="A113" s="117"/>
      <c r="B113" s="4" t="s">
        <v>141</v>
      </c>
      <c r="C113" s="9" t="s">
        <v>33</v>
      </c>
      <c r="D113" s="9" t="s">
        <v>33</v>
      </c>
      <c r="E113" s="9" t="s">
        <v>33</v>
      </c>
      <c r="F113" s="9" t="s">
        <v>33</v>
      </c>
      <c r="G113" s="9" t="s">
        <v>33</v>
      </c>
      <c r="H113" s="9" t="s">
        <v>33</v>
      </c>
      <c r="I113" s="9" t="s">
        <v>33</v>
      </c>
      <c r="J113" s="9" t="s">
        <v>33</v>
      </c>
      <c r="K113" s="9" t="s">
        <v>33</v>
      </c>
      <c r="L113" s="9" t="s">
        <v>33</v>
      </c>
      <c r="M113" s="9" t="s">
        <v>33</v>
      </c>
      <c r="N113" s="9" t="s">
        <v>33</v>
      </c>
      <c r="O113" s="9" t="s">
        <v>33</v>
      </c>
      <c r="P113" s="9" t="s">
        <v>33</v>
      </c>
      <c r="Q113" s="9" t="s">
        <v>33</v>
      </c>
      <c r="R113" s="9" t="s">
        <v>33</v>
      </c>
      <c r="S113" s="9" t="s">
        <v>33</v>
      </c>
      <c r="T113" s="9" t="s">
        <v>33</v>
      </c>
      <c r="U113" s="9" t="s">
        <v>33</v>
      </c>
      <c r="V113" s="9" t="s">
        <v>33</v>
      </c>
      <c r="W113" s="9" t="s">
        <v>33</v>
      </c>
      <c r="X113" s="9" t="s">
        <v>33</v>
      </c>
      <c r="Y113" s="9" t="s">
        <v>33</v>
      </c>
      <c r="Z113" s="9" t="s">
        <v>33</v>
      </c>
      <c r="AA113" s="9" t="s">
        <v>33</v>
      </c>
      <c r="AB113" s="9" t="s">
        <v>33</v>
      </c>
      <c r="AC113" s="9" t="s">
        <v>33</v>
      </c>
      <c r="AD113" s="9" t="s">
        <v>303</v>
      </c>
      <c r="AE113" s="9" t="s">
        <v>303</v>
      </c>
      <c r="AF113" s="47" t="s">
        <v>303</v>
      </c>
      <c r="AG113" s="70"/>
      <c r="AH113" s="72"/>
      <c r="AI113" s="74"/>
      <c r="AJ113" s="76"/>
      <c r="AK113" s="86"/>
      <c r="AL113" s="84"/>
      <c r="AM113" s="82"/>
      <c r="AN113" s="80"/>
      <c r="AO113" s="78"/>
    </row>
    <row r="114" spans="1:41">
      <c r="A114" s="117"/>
      <c r="B114" s="4" t="s">
        <v>142</v>
      </c>
      <c r="C114" s="9" t="s">
        <v>33</v>
      </c>
      <c r="D114" s="9" t="s">
        <v>33</v>
      </c>
      <c r="E114" s="9" t="s">
        <v>33</v>
      </c>
      <c r="F114" s="9" t="s">
        <v>33</v>
      </c>
      <c r="G114" s="9" t="s">
        <v>33</v>
      </c>
      <c r="H114" s="9" t="s">
        <v>33</v>
      </c>
      <c r="I114" s="9" t="s">
        <v>33</v>
      </c>
      <c r="J114" s="9" t="s">
        <v>33</v>
      </c>
      <c r="K114" s="9" t="s">
        <v>33</v>
      </c>
      <c r="L114" s="9" t="s">
        <v>33</v>
      </c>
      <c r="M114" s="9" t="s">
        <v>33</v>
      </c>
      <c r="N114" s="9" t="s">
        <v>33</v>
      </c>
      <c r="O114" s="9" t="s">
        <v>33</v>
      </c>
      <c r="P114" s="9" t="s">
        <v>33</v>
      </c>
      <c r="Q114" s="9" t="s">
        <v>33</v>
      </c>
      <c r="R114" s="9" t="s">
        <v>33</v>
      </c>
      <c r="S114" s="9" t="s">
        <v>33</v>
      </c>
      <c r="T114" s="9" t="s">
        <v>33</v>
      </c>
      <c r="U114" s="9" t="s">
        <v>33</v>
      </c>
      <c r="V114" s="9" t="s">
        <v>33</v>
      </c>
      <c r="W114" s="9" t="s">
        <v>33</v>
      </c>
      <c r="X114" s="9" t="s">
        <v>33</v>
      </c>
      <c r="Y114" s="9" t="s">
        <v>33</v>
      </c>
      <c r="Z114" s="9" t="s">
        <v>33</v>
      </c>
      <c r="AA114" s="9" t="s">
        <v>33</v>
      </c>
      <c r="AB114" s="9" t="s">
        <v>33</v>
      </c>
      <c r="AC114" s="9" t="s">
        <v>33</v>
      </c>
      <c r="AD114" s="9" t="s">
        <v>34</v>
      </c>
      <c r="AE114" s="9" t="s">
        <v>34</v>
      </c>
      <c r="AF114" s="47" t="s">
        <v>34</v>
      </c>
      <c r="AG114" s="70"/>
      <c r="AH114" s="49"/>
      <c r="AI114" s="74"/>
      <c r="AJ114" s="76"/>
      <c r="AK114" s="86"/>
      <c r="AL114" s="84"/>
      <c r="AM114" s="82"/>
      <c r="AN114" s="80"/>
      <c r="AO114" s="78"/>
    </row>
    <row r="115" spans="1:41">
      <c r="A115" s="117"/>
      <c r="B115" s="4" t="s">
        <v>35</v>
      </c>
      <c r="C115" s="9" t="s">
        <v>33</v>
      </c>
      <c r="D115" s="9" t="s">
        <v>33</v>
      </c>
      <c r="E115" s="9" t="s">
        <v>33</v>
      </c>
      <c r="F115" s="9" t="s">
        <v>33</v>
      </c>
      <c r="G115" s="9" t="s">
        <v>33</v>
      </c>
      <c r="H115" s="9" t="s">
        <v>33</v>
      </c>
      <c r="I115" s="9" t="s">
        <v>33</v>
      </c>
      <c r="J115" s="9" t="s">
        <v>33</v>
      </c>
      <c r="K115" s="9" t="s">
        <v>33</v>
      </c>
      <c r="L115" s="9" t="s">
        <v>33</v>
      </c>
      <c r="M115" s="9" t="s">
        <v>33</v>
      </c>
      <c r="N115" s="9" t="s">
        <v>33</v>
      </c>
      <c r="O115" s="9" t="s">
        <v>33</v>
      </c>
      <c r="P115" s="9" t="s">
        <v>33</v>
      </c>
      <c r="Q115" s="9" t="s">
        <v>33</v>
      </c>
      <c r="R115" s="9" t="s">
        <v>303</v>
      </c>
      <c r="S115" s="9" t="s">
        <v>303</v>
      </c>
      <c r="T115" s="9" t="s">
        <v>303</v>
      </c>
      <c r="U115" s="9" t="s">
        <v>303</v>
      </c>
      <c r="V115" s="9" t="s">
        <v>303</v>
      </c>
      <c r="W115" s="9" t="s">
        <v>303</v>
      </c>
      <c r="X115" s="9" t="s">
        <v>303</v>
      </c>
      <c r="Y115" s="9" t="s">
        <v>303</v>
      </c>
      <c r="Z115" s="9" t="s">
        <v>303</v>
      </c>
      <c r="AA115" s="9" t="s">
        <v>303</v>
      </c>
      <c r="AB115" s="9" t="s">
        <v>303</v>
      </c>
      <c r="AC115" s="9" t="s">
        <v>303</v>
      </c>
      <c r="AD115" s="9" t="s">
        <v>34</v>
      </c>
      <c r="AE115" s="9" t="s">
        <v>34</v>
      </c>
      <c r="AF115" s="47" t="s">
        <v>34</v>
      </c>
      <c r="AG115" s="70"/>
      <c r="AH115" s="49"/>
      <c r="AI115" s="74"/>
      <c r="AJ115" s="76"/>
      <c r="AK115" s="86"/>
      <c r="AL115" s="84"/>
      <c r="AM115" s="82"/>
      <c r="AN115" s="80"/>
      <c r="AO115" s="78"/>
    </row>
    <row r="116" spans="1:41">
      <c r="A116" s="117"/>
      <c r="B116" s="4" t="s">
        <v>143</v>
      </c>
      <c r="C116" s="9" t="s">
        <v>33</v>
      </c>
      <c r="D116" s="9" t="s">
        <v>33</v>
      </c>
      <c r="E116" s="9" t="s">
        <v>33</v>
      </c>
      <c r="F116" s="9" t="s">
        <v>33</v>
      </c>
      <c r="G116" s="9" t="s">
        <v>33</v>
      </c>
      <c r="H116" s="9" t="s">
        <v>33</v>
      </c>
      <c r="I116" s="9" t="s">
        <v>33</v>
      </c>
      <c r="J116" s="9" t="s">
        <v>303</v>
      </c>
      <c r="K116" s="9" t="s">
        <v>33</v>
      </c>
      <c r="L116" s="9" t="s">
        <v>303</v>
      </c>
      <c r="M116" s="9" t="s">
        <v>303</v>
      </c>
      <c r="N116" s="9" t="s">
        <v>303</v>
      </c>
      <c r="O116" s="9" t="s">
        <v>303</v>
      </c>
      <c r="P116" s="9" t="s">
        <v>303</v>
      </c>
      <c r="Q116" s="9" t="s">
        <v>303</v>
      </c>
      <c r="R116" s="9" t="s">
        <v>303</v>
      </c>
      <c r="S116" s="9" t="s">
        <v>303</v>
      </c>
      <c r="T116" s="9" t="s">
        <v>303</v>
      </c>
      <c r="U116" s="9" t="s">
        <v>303</v>
      </c>
      <c r="V116" s="9" t="s">
        <v>303</v>
      </c>
      <c r="W116" s="9" t="s">
        <v>303</v>
      </c>
      <c r="X116" s="9" t="s">
        <v>303</v>
      </c>
      <c r="Y116" s="9" t="s">
        <v>303</v>
      </c>
      <c r="Z116" s="9" t="s">
        <v>303</v>
      </c>
      <c r="AA116" s="9" t="s">
        <v>303</v>
      </c>
      <c r="AB116" s="9" t="s">
        <v>303</v>
      </c>
      <c r="AC116" s="9" t="s">
        <v>303</v>
      </c>
      <c r="AD116" s="9" t="s">
        <v>34</v>
      </c>
      <c r="AE116" s="9" t="s">
        <v>34</v>
      </c>
      <c r="AF116" s="47" t="s">
        <v>34</v>
      </c>
      <c r="AG116" s="70"/>
      <c r="AH116" s="49"/>
      <c r="AI116" s="74"/>
      <c r="AJ116" s="76"/>
      <c r="AK116" s="86"/>
      <c r="AL116" s="84"/>
      <c r="AM116" s="82"/>
      <c r="AN116" s="80"/>
      <c r="AO116" s="78"/>
    </row>
    <row r="117" spans="1:41">
      <c r="A117" s="117"/>
      <c r="B117" s="4" t="s">
        <v>144</v>
      </c>
      <c r="C117" s="9" t="s">
        <v>299</v>
      </c>
      <c r="D117" s="9" t="s">
        <v>33</v>
      </c>
      <c r="E117" s="9" t="s">
        <v>299</v>
      </c>
      <c r="F117" s="9" t="s">
        <v>299</v>
      </c>
      <c r="G117" s="9" t="s">
        <v>33</v>
      </c>
      <c r="H117" s="9" t="s">
        <v>299</v>
      </c>
      <c r="I117" s="9" t="s">
        <v>299</v>
      </c>
      <c r="J117" s="9" t="s">
        <v>303</v>
      </c>
      <c r="K117" s="9" t="s">
        <v>299</v>
      </c>
      <c r="L117" s="9" t="s">
        <v>299</v>
      </c>
      <c r="M117" s="9" t="s">
        <v>34</v>
      </c>
      <c r="N117" s="9" t="s">
        <v>34</v>
      </c>
      <c r="O117" s="9" t="s">
        <v>34</v>
      </c>
      <c r="P117" s="9" t="s">
        <v>34</v>
      </c>
      <c r="Q117" s="9" t="s">
        <v>34</v>
      </c>
      <c r="R117" s="9" t="s">
        <v>34</v>
      </c>
      <c r="S117" s="9" t="s">
        <v>34</v>
      </c>
      <c r="T117" s="9" t="s">
        <v>34</v>
      </c>
      <c r="U117" s="9" t="s">
        <v>34</v>
      </c>
      <c r="V117" s="9" t="s">
        <v>34</v>
      </c>
      <c r="W117" s="9" t="s">
        <v>34</v>
      </c>
      <c r="X117" s="9" t="s">
        <v>34</v>
      </c>
      <c r="Y117" s="9" t="s">
        <v>34</v>
      </c>
      <c r="Z117" s="9" t="s">
        <v>34</v>
      </c>
      <c r="AA117" s="9" t="s">
        <v>34</v>
      </c>
      <c r="AB117" s="9" t="s">
        <v>34</v>
      </c>
      <c r="AC117" s="9" t="s">
        <v>34</v>
      </c>
      <c r="AD117" s="9" t="s">
        <v>34</v>
      </c>
      <c r="AE117" s="9" t="s">
        <v>34</v>
      </c>
      <c r="AF117" s="47" t="s">
        <v>34</v>
      </c>
      <c r="AG117" s="70"/>
      <c r="AH117" s="49"/>
      <c r="AI117" s="49"/>
      <c r="AJ117" s="76"/>
      <c r="AK117" s="86"/>
      <c r="AL117" s="84"/>
      <c r="AM117" s="82"/>
      <c r="AN117" s="80"/>
      <c r="AO117" s="78"/>
    </row>
    <row r="118" spans="1:41">
      <c r="A118" s="117"/>
      <c r="B118" s="4" t="s">
        <v>145</v>
      </c>
      <c r="C118" s="9" t="s">
        <v>33</v>
      </c>
      <c r="D118" s="9" t="s">
        <v>33</v>
      </c>
      <c r="E118" s="9" t="s">
        <v>303</v>
      </c>
      <c r="F118" s="9" t="s">
        <v>303</v>
      </c>
      <c r="G118" s="9" t="s">
        <v>33</v>
      </c>
      <c r="H118" s="9" t="s">
        <v>33</v>
      </c>
      <c r="I118" s="9" t="s">
        <v>33</v>
      </c>
      <c r="J118" s="9" t="s">
        <v>303</v>
      </c>
      <c r="K118" s="9" t="s">
        <v>303</v>
      </c>
      <c r="L118" s="9" t="s">
        <v>303</v>
      </c>
      <c r="M118" s="9" t="s">
        <v>303</v>
      </c>
      <c r="N118" s="9" t="s">
        <v>303</v>
      </c>
      <c r="O118" s="9" t="s">
        <v>303</v>
      </c>
      <c r="P118" s="9" t="s">
        <v>303</v>
      </c>
      <c r="Q118" s="9" t="s">
        <v>303</v>
      </c>
      <c r="R118" s="9" t="s">
        <v>34</v>
      </c>
      <c r="S118" s="9" t="s">
        <v>34</v>
      </c>
      <c r="T118" s="9" t="s">
        <v>34</v>
      </c>
      <c r="U118" s="9" t="s">
        <v>34</v>
      </c>
      <c r="V118" s="9" t="s">
        <v>34</v>
      </c>
      <c r="W118" s="9" t="s">
        <v>34</v>
      </c>
      <c r="X118" s="9" t="s">
        <v>34</v>
      </c>
      <c r="Y118" s="9" t="s">
        <v>34</v>
      </c>
      <c r="Z118" s="9" t="s">
        <v>34</v>
      </c>
      <c r="AA118" s="9" t="s">
        <v>34</v>
      </c>
      <c r="AB118" s="9" t="s">
        <v>34</v>
      </c>
      <c r="AC118" s="9" t="s">
        <v>34</v>
      </c>
      <c r="AD118" s="9" t="s">
        <v>34</v>
      </c>
      <c r="AE118" s="9" t="s">
        <v>34</v>
      </c>
      <c r="AF118" s="47" t="s">
        <v>34</v>
      </c>
      <c r="AG118" s="70"/>
      <c r="AH118" s="49"/>
      <c r="AI118" s="49"/>
      <c r="AJ118" s="49"/>
      <c r="AK118" s="86"/>
      <c r="AL118" s="84"/>
      <c r="AM118" s="82"/>
      <c r="AN118" s="80"/>
      <c r="AO118" s="78"/>
    </row>
    <row r="119" spans="1:41">
      <c r="A119" s="117"/>
      <c r="B119" s="4" t="s">
        <v>146</v>
      </c>
      <c r="C119" s="9" t="s">
        <v>33</v>
      </c>
      <c r="D119" s="9" t="s">
        <v>33</v>
      </c>
      <c r="E119" s="9" t="s">
        <v>303</v>
      </c>
      <c r="F119" s="9" t="s">
        <v>303</v>
      </c>
      <c r="G119" s="9" t="s">
        <v>34</v>
      </c>
      <c r="H119" s="9" t="s">
        <v>303</v>
      </c>
      <c r="I119" s="9" t="s">
        <v>34</v>
      </c>
      <c r="J119" s="9" t="s">
        <v>34</v>
      </c>
      <c r="K119" s="9" t="s">
        <v>34</v>
      </c>
      <c r="L119" s="9" t="s">
        <v>34</v>
      </c>
      <c r="M119" s="9" t="s">
        <v>34</v>
      </c>
      <c r="N119" s="9" t="s">
        <v>34</v>
      </c>
      <c r="O119" s="9" t="s">
        <v>34</v>
      </c>
      <c r="P119" s="9" t="s">
        <v>34</v>
      </c>
      <c r="Q119" s="9" t="s">
        <v>34</v>
      </c>
      <c r="R119" s="9" t="s">
        <v>34</v>
      </c>
      <c r="S119" s="9" t="s">
        <v>34</v>
      </c>
      <c r="T119" s="9" t="s">
        <v>34</v>
      </c>
      <c r="U119" s="9" t="s">
        <v>34</v>
      </c>
      <c r="V119" s="9" t="s">
        <v>34</v>
      </c>
      <c r="W119" s="9" t="s">
        <v>34</v>
      </c>
      <c r="X119" s="9" t="s">
        <v>34</v>
      </c>
      <c r="Y119" s="9" t="s">
        <v>34</v>
      </c>
      <c r="Z119" s="9" t="s">
        <v>34</v>
      </c>
      <c r="AA119" s="9" t="s">
        <v>34</v>
      </c>
      <c r="AB119" s="9" t="s">
        <v>34</v>
      </c>
      <c r="AC119" s="9" t="s">
        <v>34</v>
      </c>
      <c r="AD119" s="9" t="s">
        <v>34</v>
      </c>
      <c r="AE119" s="9" t="s">
        <v>34</v>
      </c>
      <c r="AF119" s="47" t="s">
        <v>34</v>
      </c>
      <c r="AG119" s="70"/>
      <c r="AH119" s="49"/>
      <c r="AI119" s="49"/>
      <c r="AJ119" s="49"/>
      <c r="AK119" s="49"/>
      <c r="AL119" s="84"/>
      <c r="AM119" s="82"/>
      <c r="AN119" s="80"/>
      <c r="AO119" s="78"/>
    </row>
    <row r="120" spans="1:41">
      <c r="A120" s="117"/>
      <c r="B120" s="4" t="s">
        <v>147</v>
      </c>
      <c r="C120" s="9" t="s">
        <v>33</v>
      </c>
      <c r="D120" s="9" t="s">
        <v>33</v>
      </c>
      <c r="E120" s="9" t="s">
        <v>33</v>
      </c>
      <c r="F120" s="9" t="s">
        <v>33</v>
      </c>
      <c r="G120" s="9" t="s">
        <v>34</v>
      </c>
      <c r="H120" s="9" t="s">
        <v>303</v>
      </c>
      <c r="I120" s="9" t="s">
        <v>34</v>
      </c>
      <c r="J120" s="9" t="s">
        <v>34</v>
      </c>
      <c r="K120" s="9" t="s">
        <v>34</v>
      </c>
      <c r="L120" s="9" t="s">
        <v>34</v>
      </c>
      <c r="M120" s="9" t="s">
        <v>34</v>
      </c>
      <c r="N120" s="9" t="s">
        <v>34</v>
      </c>
      <c r="O120" s="9" t="s">
        <v>34</v>
      </c>
      <c r="P120" s="9" t="s">
        <v>34</v>
      </c>
      <c r="Q120" s="9" t="s">
        <v>34</v>
      </c>
      <c r="R120" s="9" t="s">
        <v>34</v>
      </c>
      <c r="S120" s="9" t="s">
        <v>34</v>
      </c>
      <c r="T120" s="9" t="s">
        <v>34</v>
      </c>
      <c r="U120" s="9" t="s">
        <v>34</v>
      </c>
      <c r="V120" s="9" t="s">
        <v>34</v>
      </c>
      <c r="W120" s="9" t="s">
        <v>34</v>
      </c>
      <c r="X120" s="9" t="s">
        <v>34</v>
      </c>
      <c r="Y120" s="9" t="s">
        <v>34</v>
      </c>
      <c r="Z120" s="9" t="s">
        <v>34</v>
      </c>
      <c r="AA120" s="9" t="s">
        <v>34</v>
      </c>
      <c r="AB120" s="9" t="s">
        <v>34</v>
      </c>
      <c r="AC120" s="9" t="s">
        <v>34</v>
      </c>
      <c r="AD120" s="9" t="s">
        <v>34</v>
      </c>
      <c r="AE120" s="9" t="s">
        <v>34</v>
      </c>
      <c r="AF120" s="47" t="s">
        <v>34</v>
      </c>
      <c r="AG120" s="70"/>
      <c r="AH120" s="49"/>
      <c r="AI120" s="49"/>
      <c r="AJ120" s="49"/>
      <c r="AK120" s="49"/>
      <c r="AL120" s="49"/>
      <c r="AM120" s="82"/>
      <c r="AN120" s="80"/>
      <c r="AO120" s="78"/>
    </row>
    <row r="121" spans="1:41">
      <c r="A121" s="117"/>
      <c r="B121" s="4" t="s">
        <v>148</v>
      </c>
      <c r="C121" s="9" t="s">
        <v>34</v>
      </c>
      <c r="D121" s="9" t="s">
        <v>34</v>
      </c>
      <c r="E121" s="9" t="s">
        <v>34</v>
      </c>
      <c r="F121" s="9" t="s">
        <v>34</v>
      </c>
      <c r="G121" s="9" t="s">
        <v>34</v>
      </c>
      <c r="H121" s="9" t="s">
        <v>303</v>
      </c>
      <c r="I121" s="9" t="s">
        <v>34</v>
      </c>
      <c r="J121" s="9" t="s">
        <v>34</v>
      </c>
      <c r="K121" s="9" t="s">
        <v>34</v>
      </c>
      <c r="L121" s="9" t="s">
        <v>34</v>
      </c>
      <c r="M121" s="9" t="s">
        <v>34</v>
      </c>
      <c r="N121" s="9" t="s">
        <v>34</v>
      </c>
      <c r="O121" s="9" t="s">
        <v>34</v>
      </c>
      <c r="P121" s="9" t="s">
        <v>34</v>
      </c>
      <c r="Q121" s="9" t="s">
        <v>34</v>
      </c>
      <c r="R121" s="9" t="s">
        <v>34</v>
      </c>
      <c r="S121" s="9" t="s">
        <v>34</v>
      </c>
      <c r="T121" s="9" t="s">
        <v>34</v>
      </c>
      <c r="U121" s="9" t="s">
        <v>34</v>
      </c>
      <c r="V121" s="9" t="s">
        <v>34</v>
      </c>
      <c r="W121" s="9" t="s">
        <v>34</v>
      </c>
      <c r="X121" s="9" t="s">
        <v>34</v>
      </c>
      <c r="Y121" s="9" t="s">
        <v>34</v>
      </c>
      <c r="Z121" s="9" t="s">
        <v>34</v>
      </c>
      <c r="AA121" s="9" t="s">
        <v>34</v>
      </c>
      <c r="AB121" s="9" t="s">
        <v>34</v>
      </c>
      <c r="AC121" s="9" t="s">
        <v>34</v>
      </c>
      <c r="AD121" s="9" t="s">
        <v>34</v>
      </c>
      <c r="AE121" s="9" t="s">
        <v>34</v>
      </c>
      <c r="AF121" s="47" t="s">
        <v>34</v>
      </c>
      <c r="AG121" s="70"/>
      <c r="AH121" s="49"/>
      <c r="AI121" s="49"/>
      <c r="AJ121" s="49"/>
      <c r="AK121" s="49"/>
      <c r="AL121" s="49"/>
      <c r="AM121" s="49"/>
      <c r="AN121" s="80"/>
      <c r="AO121" s="78"/>
    </row>
    <row r="122" spans="1:41" ht="15.75" customHeight="1" thickBot="1">
      <c r="A122" s="119"/>
      <c r="B122" s="25" t="s">
        <v>149</v>
      </c>
      <c r="C122" s="20" t="s">
        <v>34</v>
      </c>
      <c r="D122" s="20" t="s">
        <v>34</v>
      </c>
      <c r="E122" s="20" t="s">
        <v>34</v>
      </c>
      <c r="F122" s="20" t="s">
        <v>34</v>
      </c>
      <c r="G122" s="20" t="s">
        <v>34</v>
      </c>
      <c r="H122" s="20" t="s">
        <v>34</v>
      </c>
      <c r="I122" s="20" t="s">
        <v>34</v>
      </c>
      <c r="J122" s="20" t="s">
        <v>34</v>
      </c>
      <c r="K122" s="20" t="s">
        <v>34</v>
      </c>
      <c r="L122" s="20" t="s">
        <v>34</v>
      </c>
      <c r="M122" s="20" t="s">
        <v>34</v>
      </c>
      <c r="N122" s="20" t="s">
        <v>34</v>
      </c>
      <c r="O122" s="20" t="s">
        <v>34</v>
      </c>
      <c r="P122" s="20" t="s">
        <v>34</v>
      </c>
      <c r="Q122" s="20" t="s">
        <v>34</v>
      </c>
      <c r="R122" s="20" t="s">
        <v>34</v>
      </c>
      <c r="S122" s="20" t="s">
        <v>34</v>
      </c>
      <c r="T122" s="20" t="s">
        <v>34</v>
      </c>
      <c r="U122" s="20" t="s">
        <v>34</v>
      </c>
      <c r="V122" s="20" t="s">
        <v>34</v>
      </c>
      <c r="W122" s="20" t="s">
        <v>34</v>
      </c>
      <c r="X122" s="20" t="s">
        <v>34</v>
      </c>
      <c r="Y122" s="20" t="s">
        <v>34</v>
      </c>
      <c r="Z122" s="20" t="s">
        <v>34</v>
      </c>
      <c r="AA122" s="20" t="s">
        <v>34</v>
      </c>
      <c r="AB122" s="20" t="s">
        <v>34</v>
      </c>
      <c r="AC122" s="20" t="s">
        <v>34</v>
      </c>
      <c r="AD122" s="20" t="s">
        <v>34</v>
      </c>
      <c r="AE122" s="20" t="s">
        <v>34</v>
      </c>
      <c r="AF122" s="48" t="s">
        <v>34</v>
      </c>
      <c r="AG122" s="70"/>
      <c r="AH122" s="50"/>
      <c r="AI122" s="49"/>
      <c r="AJ122" s="49"/>
      <c r="AK122" s="49"/>
      <c r="AL122" s="49"/>
      <c r="AM122" s="49"/>
      <c r="AN122" s="49"/>
      <c r="AO122" s="78"/>
    </row>
    <row r="123" spans="1:41" ht="15" customHeight="1">
      <c r="A123" s="116" t="s">
        <v>150</v>
      </c>
      <c r="B123" s="24" t="s">
        <v>151</v>
      </c>
      <c r="C123" s="18" t="s">
        <v>33</v>
      </c>
      <c r="D123" s="18" t="s">
        <v>33</v>
      </c>
      <c r="E123" s="18" t="s">
        <v>33</v>
      </c>
      <c r="F123" s="18" t="s">
        <v>33</v>
      </c>
      <c r="G123" s="18" t="s">
        <v>33</v>
      </c>
      <c r="H123" s="18" t="s">
        <v>33</v>
      </c>
      <c r="I123" s="18" t="s">
        <v>33</v>
      </c>
      <c r="J123" s="18" t="s">
        <v>33</v>
      </c>
      <c r="K123" s="18" t="s">
        <v>33</v>
      </c>
      <c r="L123" s="18" t="s">
        <v>33</v>
      </c>
      <c r="M123" s="18" t="s">
        <v>33</v>
      </c>
      <c r="N123" s="18" t="s">
        <v>33</v>
      </c>
      <c r="O123" s="18" t="s">
        <v>33</v>
      </c>
      <c r="P123" s="18" t="s">
        <v>33</v>
      </c>
      <c r="Q123" s="18" t="s">
        <v>33</v>
      </c>
      <c r="R123" s="18" t="s">
        <v>33</v>
      </c>
      <c r="S123" s="18" t="s">
        <v>33</v>
      </c>
      <c r="T123" s="18" t="s">
        <v>33</v>
      </c>
      <c r="U123" s="18" t="s">
        <v>33</v>
      </c>
      <c r="V123" s="18" t="s">
        <v>33</v>
      </c>
      <c r="W123" s="18" t="s">
        <v>33</v>
      </c>
      <c r="X123" s="18" t="s">
        <v>33</v>
      </c>
      <c r="Y123" s="18" t="s">
        <v>33</v>
      </c>
      <c r="Z123" s="18" t="s">
        <v>33</v>
      </c>
      <c r="AA123" s="18" t="s">
        <v>33</v>
      </c>
      <c r="AB123" s="18" t="s">
        <v>33</v>
      </c>
      <c r="AC123" s="18" t="s">
        <v>33</v>
      </c>
      <c r="AD123" s="18" t="s">
        <v>33</v>
      </c>
      <c r="AE123" s="18" t="s">
        <v>33</v>
      </c>
      <c r="AF123" s="55" t="s">
        <v>303</v>
      </c>
      <c r="AG123" s="69" t="s">
        <v>359</v>
      </c>
      <c r="AH123" s="71" t="s">
        <v>360</v>
      </c>
      <c r="AI123" s="73" t="s">
        <v>361</v>
      </c>
      <c r="AJ123" s="75" t="s">
        <v>362</v>
      </c>
      <c r="AK123" s="85" t="s">
        <v>363</v>
      </c>
      <c r="AL123" s="83" t="s">
        <v>364</v>
      </c>
      <c r="AM123" s="81" t="s">
        <v>365</v>
      </c>
      <c r="AN123" s="79" t="s">
        <v>366</v>
      </c>
      <c r="AO123" s="77" t="s">
        <v>367</v>
      </c>
    </row>
    <row r="124" spans="1:41">
      <c r="A124" s="117"/>
      <c r="B124" s="4" t="s">
        <v>152</v>
      </c>
      <c r="C124" s="9" t="s">
        <v>33</v>
      </c>
      <c r="D124" s="9" t="s">
        <v>33</v>
      </c>
      <c r="E124" s="9" t="s">
        <v>33</v>
      </c>
      <c r="F124" s="9" t="s">
        <v>33</v>
      </c>
      <c r="G124" s="9" t="s">
        <v>33</v>
      </c>
      <c r="H124" s="9" t="s">
        <v>33</v>
      </c>
      <c r="I124" s="9" t="s">
        <v>33</v>
      </c>
      <c r="J124" s="9" t="s">
        <v>33</v>
      </c>
      <c r="K124" s="9" t="s">
        <v>33</v>
      </c>
      <c r="L124" s="9" t="s">
        <v>33</v>
      </c>
      <c r="M124" s="9" t="s">
        <v>33</v>
      </c>
      <c r="N124" s="9" t="s">
        <v>33</v>
      </c>
      <c r="O124" s="9" t="s">
        <v>33</v>
      </c>
      <c r="P124" s="9" t="s">
        <v>33</v>
      </c>
      <c r="Q124" s="9" t="s">
        <v>33</v>
      </c>
      <c r="R124" s="9" t="s">
        <v>303</v>
      </c>
      <c r="S124" s="9" t="s">
        <v>303</v>
      </c>
      <c r="T124" s="9" t="s">
        <v>303</v>
      </c>
      <c r="U124" s="9" t="s">
        <v>303</v>
      </c>
      <c r="V124" s="9" t="s">
        <v>303</v>
      </c>
      <c r="W124" s="9" t="s">
        <v>303</v>
      </c>
      <c r="X124" s="9" t="s">
        <v>303</v>
      </c>
      <c r="Y124" s="9" t="s">
        <v>303</v>
      </c>
      <c r="Z124" s="9" t="s">
        <v>303</v>
      </c>
      <c r="AA124" s="9" t="s">
        <v>303</v>
      </c>
      <c r="AB124" s="9" t="s">
        <v>303</v>
      </c>
      <c r="AC124" s="9" t="s">
        <v>303</v>
      </c>
      <c r="AD124" s="9" t="s">
        <v>303</v>
      </c>
      <c r="AE124" s="9" t="s">
        <v>303</v>
      </c>
      <c r="AF124" s="56" t="s">
        <v>34</v>
      </c>
      <c r="AG124" s="69"/>
      <c r="AH124" s="72"/>
      <c r="AI124" s="74"/>
      <c r="AJ124" s="76"/>
      <c r="AK124" s="86"/>
      <c r="AL124" s="84"/>
      <c r="AM124" s="82"/>
      <c r="AN124" s="80"/>
      <c r="AO124" s="78"/>
    </row>
    <row r="125" spans="1:41">
      <c r="A125" s="117"/>
      <c r="B125" s="4" t="s">
        <v>153</v>
      </c>
      <c r="C125" s="9" t="s">
        <v>33</v>
      </c>
      <c r="D125" s="9" t="s">
        <v>33</v>
      </c>
      <c r="E125" s="9" t="s">
        <v>33</v>
      </c>
      <c r="F125" s="9" t="s">
        <v>33</v>
      </c>
      <c r="G125" s="9" t="s">
        <v>33</v>
      </c>
      <c r="H125" s="9" t="s">
        <v>33</v>
      </c>
      <c r="I125" s="9" t="s">
        <v>33</v>
      </c>
      <c r="J125" s="9" t="s">
        <v>33</v>
      </c>
      <c r="K125" s="9" t="s">
        <v>33</v>
      </c>
      <c r="L125" s="9" t="s">
        <v>33</v>
      </c>
      <c r="M125" s="9" t="s">
        <v>33</v>
      </c>
      <c r="N125" s="9" t="s">
        <v>33</v>
      </c>
      <c r="O125" s="9" t="s">
        <v>33</v>
      </c>
      <c r="P125" s="9" t="s">
        <v>33</v>
      </c>
      <c r="Q125" s="9" t="s">
        <v>303</v>
      </c>
      <c r="R125" s="9" t="s">
        <v>303</v>
      </c>
      <c r="S125" s="9" t="s">
        <v>303</v>
      </c>
      <c r="T125" s="9" t="s">
        <v>303</v>
      </c>
      <c r="U125" s="9" t="s">
        <v>303</v>
      </c>
      <c r="V125" s="9" t="s">
        <v>303</v>
      </c>
      <c r="W125" s="9" t="s">
        <v>303</v>
      </c>
      <c r="X125" s="9" t="s">
        <v>303</v>
      </c>
      <c r="Y125" s="9" t="s">
        <v>303</v>
      </c>
      <c r="Z125" s="9" t="s">
        <v>303</v>
      </c>
      <c r="AA125" s="9" t="s">
        <v>303</v>
      </c>
      <c r="AB125" s="9" t="s">
        <v>303</v>
      </c>
      <c r="AC125" s="9" t="s">
        <v>303</v>
      </c>
      <c r="AD125" s="9" t="s">
        <v>34</v>
      </c>
      <c r="AE125" s="9" t="s">
        <v>34</v>
      </c>
      <c r="AF125" s="47" t="s">
        <v>34</v>
      </c>
      <c r="AG125" s="70"/>
      <c r="AH125" s="72"/>
      <c r="AI125" s="74"/>
      <c r="AJ125" s="76"/>
      <c r="AK125" s="86"/>
      <c r="AL125" s="84"/>
      <c r="AM125" s="82"/>
      <c r="AN125" s="80"/>
      <c r="AO125" s="78"/>
    </row>
    <row r="126" spans="1:41">
      <c r="A126" s="117"/>
      <c r="B126" s="4" t="s">
        <v>154</v>
      </c>
      <c r="C126" s="9" t="s">
        <v>33</v>
      </c>
      <c r="D126" s="9" t="s">
        <v>33</v>
      </c>
      <c r="E126" s="9" t="s">
        <v>33</v>
      </c>
      <c r="F126" s="9" t="s">
        <v>33</v>
      </c>
      <c r="G126" s="9" t="s">
        <v>33</v>
      </c>
      <c r="H126" s="9" t="s">
        <v>33</v>
      </c>
      <c r="I126" s="9" t="s">
        <v>33</v>
      </c>
      <c r="J126" s="9" t="s">
        <v>33</v>
      </c>
      <c r="K126" s="9" t="s">
        <v>33</v>
      </c>
      <c r="L126" s="9" t="s">
        <v>33</v>
      </c>
      <c r="M126" s="9" t="s">
        <v>33</v>
      </c>
      <c r="N126" s="9" t="s">
        <v>33</v>
      </c>
      <c r="O126" s="9" t="s">
        <v>33</v>
      </c>
      <c r="P126" s="9" t="s">
        <v>33</v>
      </c>
      <c r="Q126" s="9" t="s">
        <v>33</v>
      </c>
      <c r="R126" s="9" t="s">
        <v>303</v>
      </c>
      <c r="S126" s="9" t="s">
        <v>303</v>
      </c>
      <c r="T126" s="9" t="s">
        <v>303</v>
      </c>
      <c r="U126" s="9" t="s">
        <v>303</v>
      </c>
      <c r="V126" s="9" t="s">
        <v>303</v>
      </c>
      <c r="W126" s="9" t="s">
        <v>303</v>
      </c>
      <c r="X126" s="9" t="s">
        <v>303</v>
      </c>
      <c r="Y126" s="9" t="s">
        <v>303</v>
      </c>
      <c r="Z126" s="9" t="s">
        <v>303</v>
      </c>
      <c r="AA126" s="9" t="s">
        <v>303</v>
      </c>
      <c r="AB126" s="9" t="s">
        <v>33</v>
      </c>
      <c r="AC126" s="9" t="s">
        <v>303</v>
      </c>
      <c r="AD126" s="9" t="s">
        <v>34</v>
      </c>
      <c r="AE126" s="9" t="s">
        <v>34</v>
      </c>
      <c r="AF126" s="47" t="s">
        <v>34</v>
      </c>
      <c r="AG126" s="70"/>
      <c r="AH126" s="49"/>
      <c r="AI126" s="74"/>
      <c r="AJ126" s="76"/>
      <c r="AK126" s="86"/>
      <c r="AL126" s="84"/>
      <c r="AM126" s="82"/>
      <c r="AN126" s="80"/>
      <c r="AO126" s="78"/>
    </row>
    <row r="127" spans="1:41">
      <c r="A127" s="117"/>
      <c r="B127" s="4" t="s">
        <v>155</v>
      </c>
      <c r="C127" s="9" t="s">
        <v>33</v>
      </c>
      <c r="D127" s="9" t="s">
        <v>33</v>
      </c>
      <c r="E127" s="9" t="s">
        <v>33</v>
      </c>
      <c r="F127" s="9" t="s">
        <v>33</v>
      </c>
      <c r="G127" s="9" t="s">
        <v>33</v>
      </c>
      <c r="H127" s="9" t="s">
        <v>33</v>
      </c>
      <c r="I127" s="9" t="s">
        <v>33</v>
      </c>
      <c r="J127" s="9" t="s">
        <v>33</v>
      </c>
      <c r="K127" s="9" t="s">
        <v>33</v>
      </c>
      <c r="L127" s="9" t="s">
        <v>33</v>
      </c>
      <c r="M127" s="9" t="s">
        <v>33</v>
      </c>
      <c r="N127" s="9" t="s">
        <v>33</v>
      </c>
      <c r="O127" s="9" t="s">
        <v>33</v>
      </c>
      <c r="P127" s="9" t="s">
        <v>33</v>
      </c>
      <c r="Q127" s="9" t="s">
        <v>33</v>
      </c>
      <c r="R127" s="9" t="s">
        <v>303</v>
      </c>
      <c r="S127" s="9" t="s">
        <v>303</v>
      </c>
      <c r="T127" s="9" t="s">
        <v>303</v>
      </c>
      <c r="U127" s="9" t="s">
        <v>303</v>
      </c>
      <c r="V127" s="9" t="s">
        <v>303</v>
      </c>
      <c r="W127" s="9" t="s">
        <v>303</v>
      </c>
      <c r="X127" s="9" t="s">
        <v>303</v>
      </c>
      <c r="Y127" s="9" t="s">
        <v>303</v>
      </c>
      <c r="Z127" s="9" t="s">
        <v>303</v>
      </c>
      <c r="AA127" s="9" t="s">
        <v>303</v>
      </c>
      <c r="AB127" s="9" t="s">
        <v>33</v>
      </c>
      <c r="AC127" s="9" t="s">
        <v>303</v>
      </c>
      <c r="AD127" s="9" t="s">
        <v>34</v>
      </c>
      <c r="AE127" s="9" t="s">
        <v>34</v>
      </c>
      <c r="AF127" s="47" t="s">
        <v>34</v>
      </c>
      <c r="AG127" s="70"/>
      <c r="AH127" s="49"/>
      <c r="AI127" s="74"/>
      <c r="AJ127" s="76"/>
      <c r="AK127" s="86"/>
      <c r="AL127" s="84"/>
      <c r="AM127" s="82"/>
      <c r="AN127" s="80"/>
      <c r="AO127" s="78"/>
    </row>
    <row r="128" spans="1:41">
      <c r="A128" s="117"/>
      <c r="B128" s="4" t="s">
        <v>156</v>
      </c>
      <c r="C128" s="9" t="s">
        <v>33</v>
      </c>
      <c r="D128" s="9" t="s">
        <v>33</v>
      </c>
      <c r="E128" s="9" t="s">
        <v>33</v>
      </c>
      <c r="F128" s="9" t="s">
        <v>33</v>
      </c>
      <c r="G128" s="9" t="s">
        <v>33</v>
      </c>
      <c r="H128" s="9" t="s">
        <v>33</v>
      </c>
      <c r="I128" s="9" t="s">
        <v>33</v>
      </c>
      <c r="J128" s="9" t="s">
        <v>33</v>
      </c>
      <c r="K128" s="9" t="s">
        <v>33</v>
      </c>
      <c r="L128" s="9" t="s">
        <v>33</v>
      </c>
      <c r="M128" s="9" t="s">
        <v>33</v>
      </c>
      <c r="N128" s="9" t="s">
        <v>33</v>
      </c>
      <c r="O128" s="9" t="s">
        <v>33</v>
      </c>
      <c r="P128" s="9" t="s">
        <v>33</v>
      </c>
      <c r="Q128" s="9" t="s">
        <v>33</v>
      </c>
      <c r="R128" s="9" t="s">
        <v>303</v>
      </c>
      <c r="S128" s="9" t="s">
        <v>303</v>
      </c>
      <c r="T128" s="9" t="s">
        <v>303</v>
      </c>
      <c r="U128" s="9" t="s">
        <v>303</v>
      </c>
      <c r="V128" s="9" t="s">
        <v>303</v>
      </c>
      <c r="W128" s="9" t="s">
        <v>303</v>
      </c>
      <c r="X128" s="9" t="s">
        <v>303</v>
      </c>
      <c r="Y128" s="9" t="s">
        <v>303</v>
      </c>
      <c r="Z128" s="9" t="s">
        <v>303</v>
      </c>
      <c r="AA128" s="9" t="s">
        <v>303</v>
      </c>
      <c r="AB128" s="9" t="s">
        <v>33</v>
      </c>
      <c r="AC128" s="9" t="s">
        <v>303</v>
      </c>
      <c r="AD128" s="9" t="s">
        <v>34</v>
      </c>
      <c r="AE128" s="9" t="s">
        <v>34</v>
      </c>
      <c r="AF128" s="47" t="s">
        <v>34</v>
      </c>
      <c r="AG128" s="70"/>
      <c r="AH128" s="49"/>
      <c r="AI128" s="49"/>
      <c r="AJ128" s="76"/>
      <c r="AK128" s="86"/>
      <c r="AL128" s="84"/>
      <c r="AM128" s="82"/>
      <c r="AN128" s="80"/>
      <c r="AO128" s="78"/>
    </row>
    <row r="129" spans="1:41">
      <c r="A129" s="117"/>
      <c r="B129" s="4" t="s">
        <v>157</v>
      </c>
      <c r="C129" s="9" t="s">
        <v>33</v>
      </c>
      <c r="D129" s="9" t="s">
        <v>33</v>
      </c>
      <c r="E129" s="9" t="s">
        <v>33</v>
      </c>
      <c r="F129" s="9" t="s">
        <v>33</v>
      </c>
      <c r="G129" s="9" t="s">
        <v>33</v>
      </c>
      <c r="H129" s="9" t="s">
        <v>33</v>
      </c>
      <c r="I129" s="9" t="s">
        <v>33</v>
      </c>
      <c r="J129" s="9" t="s">
        <v>33</v>
      </c>
      <c r="K129" s="9" t="s">
        <v>33</v>
      </c>
      <c r="L129" s="9" t="s">
        <v>33</v>
      </c>
      <c r="M129" s="9" t="s">
        <v>33</v>
      </c>
      <c r="N129" s="9" t="s">
        <v>33</v>
      </c>
      <c r="O129" s="9" t="s">
        <v>33</v>
      </c>
      <c r="P129" s="9" t="s">
        <v>33</v>
      </c>
      <c r="Q129" s="9" t="s">
        <v>33</v>
      </c>
      <c r="R129" s="9" t="s">
        <v>34</v>
      </c>
      <c r="S129" s="9" t="s">
        <v>34</v>
      </c>
      <c r="T129" s="9" t="s">
        <v>34</v>
      </c>
      <c r="U129" s="9" t="s">
        <v>34</v>
      </c>
      <c r="V129" s="9" t="s">
        <v>34</v>
      </c>
      <c r="W129" s="9" t="s">
        <v>34</v>
      </c>
      <c r="X129" s="9" t="s">
        <v>34</v>
      </c>
      <c r="Y129" s="9" t="s">
        <v>34</v>
      </c>
      <c r="Z129" s="9" t="s">
        <v>34</v>
      </c>
      <c r="AA129" s="9" t="s">
        <v>34</v>
      </c>
      <c r="AB129" s="9" t="s">
        <v>34</v>
      </c>
      <c r="AC129" s="9" t="s">
        <v>34</v>
      </c>
      <c r="AD129" s="9" t="s">
        <v>34</v>
      </c>
      <c r="AE129" s="9" t="s">
        <v>34</v>
      </c>
      <c r="AF129" s="47" t="s">
        <v>34</v>
      </c>
      <c r="AG129" s="70"/>
      <c r="AH129" s="49"/>
      <c r="AI129" s="49"/>
      <c r="AJ129" s="76"/>
      <c r="AK129" s="86"/>
      <c r="AL129" s="84"/>
      <c r="AM129" s="82"/>
      <c r="AN129" s="80"/>
      <c r="AO129" s="78"/>
    </row>
    <row r="130" spans="1:41">
      <c r="A130" s="117"/>
      <c r="B130" s="4" t="s">
        <v>158</v>
      </c>
      <c r="C130" s="9" t="s">
        <v>33</v>
      </c>
      <c r="D130" s="9" t="s">
        <v>33</v>
      </c>
      <c r="E130" s="9" t="s">
        <v>33</v>
      </c>
      <c r="F130" s="9" t="s">
        <v>33</v>
      </c>
      <c r="G130" s="9" t="s">
        <v>33</v>
      </c>
      <c r="H130" s="9" t="s">
        <v>33</v>
      </c>
      <c r="I130" s="9" t="s">
        <v>33</v>
      </c>
      <c r="J130" s="9" t="s">
        <v>33</v>
      </c>
      <c r="K130" s="9" t="s">
        <v>33</v>
      </c>
      <c r="L130" s="9" t="s">
        <v>33</v>
      </c>
      <c r="M130" s="9" t="s">
        <v>33</v>
      </c>
      <c r="N130" s="9" t="s">
        <v>33</v>
      </c>
      <c r="O130" s="9" t="s">
        <v>33</v>
      </c>
      <c r="P130" s="9" t="s">
        <v>33</v>
      </c>
      <c r="Q130" s="9" t="s">
        <v>33</v>
      </c>
      <c r="R130" s="9" t="s">
        <v>34</v>
      </c>
      <c r="S130" s="9" t="s">
        <v>34</v>
      </c>
      <c r="T130" s="9" t="s">
        <v>34</v>
      </c>
      <c r="U130" s="9" t="s">
        <v>34</v>
      </c>
      <c r="V130" s="9" t="s">
        <v>34</v>
      </c>
      <c r="W130" s="9" t="s">
        <v>34</v>
      </c>
      <c r="X130" s="9" t="s">
        <v>34</v>
      </c>
      <c r="Y130" s="9" t="s">
        <v>34</v>
      </c>
      <c r="Z130" s="9" t="s">
        <v>34</v>
      </c>
      <c r="AA130" s="9" t="s">
        <v>34</v>
      </c>
      <c r="AB130" s="9" t="s">
        <v>303</v>
      </c>
      <c r="AC130" s="9" t="s">
        <v>34</v>
      </c>
      <c r="AD130" s="9" t="s">
        <v>34</v>
      </c>
      <c r="AE130" s="9" t="s">
        <v>34</v>
      </c>
      <c r="AF130" s="47" t="s">
        <v>34</v>
      </c>
      <c r="AG130" s="70"/>
      <c r="AH130" s="49"/>
      <c r="AI130" s="49"/>
      <c r="AJ130" s="76"/>
      <c r="AK130" s="86"/>
      <c r="AL130" s="84"/>
      <c r="AM130" s="82"/>
      <c r="AN130" s="80"/>
      <c r="AO130" s="78"/>
    </row>
    <row r="131" spans="1:41">
      <c r="A131" s="117"/>
      <c r="B131" s="4" t="s">
        <v>159</v>
      </c>
      <c r="C131" s="9" t="s">
        <v>33</v>
      </c>
      <c r="D131" s="9" t="s">
        <v>33</v>
      </c>
      <c r="E131" s="9" t="s">
        <v>33</v>
      </c>
      <c r="F131" s="9" t="s">
        <v>299</v>
      </c>
      <c r="G131" s="9" t="s">
        <v>33</v>
      </c>
      <c r="H131" s="9" t="s">
        <v>33</v>
      </c>
      <c r="I131" s="9" t="s">
        <v>33</v>
      </c>
      <c r="J131" s="9" t="s">
        <v>303</v>
      </c>
      <c r="K131" s="9" t="s">
        <v>303</v>
      </c>
      <c r="L131" s="9" t="s">
        <v>34</v>
      </c>
      <c r="M131" s="9" t="s">
        <v>303</v>
      </c>
      <c r="N131" s="9" t="s">
        <v>303</v>
      </c>
      <c r="O131" s="9" t="s">
        <v>34</v>
      </c>
      <c r="P131" s="9" t="s">
        <v>34</v>
      </c>
      <c r="Q131" s="9" t="s">
        <v>34</v>
      </c>
      <c r="R131" s="9" t="s">
        <v>34</v>
      </c>
      <c r="S131" s="9" t="s">
        <v>34</v>
      </c>
      <c r="T131" s="9" t="s">
        <v>34</v>
      </c>
      <c r="U131" s="9" t="s">
        <v>34</v>
      </c>
      <c r="V131" s="9" t="s">
        <v>34</v>
      </c>
      <c r="W131" s="9" t="s">
        <v>34</v>
      </c>
      <c r="X131" s="9" t="s">
        <v>34</v>
      </c>
      <c r="Y131" s="9" t="s">
        <v>34</v>
      </c>
      <c r="Z131" s="9" t="s">
        <v>34</v>
      </c>
      <c r="AA131" s="9" t="s">
        <v>34</v>
      </c>
      <c r="AB131" s="9" t="s">
        <v>34</v>
      </c>
      <c r="AC131" s="9" t="s">
        <v>34</v>
      </c>
      <c r="AD131" s="9" t="s">
        <v>34</v>
      </c>
      <c r="AE131" s="9" t="s">
        <v>34</v>
      </c>
      <c r="AF131" s="47" t="s">
        <v>34</v>
      </c>
      <c r="AG131" s="70"/>
      <c r="AH131" s="49"/>
      <c r="AI131" s="49"/>
      <c r="AJ131" s="49"/>
      <c r="AK131" s="86"/>
      <c r="AL131" s="84"/>
      <c r="AM131" s="82"/>
      <c r="AN131" s="80"/>
      <c r="AO131" s="78"/>
    </row>
    <row r="132" spans="1:41">
      <c r="A132" s="117"/>
      <c r="B132" s="4" t="s">
        <v>160</v>
      </c>
      <c r="C132" s="9" t="s">
        <v>33</v>
      </c>
      <c r="D132" s="9" t="s">
        <v>33</v>
      </c>
      <c r="E132" s="9" t="s">
        <v>33</v>
      </c>
      <c r="F132" s="9" t="s">
        <v>33</v>
      </c>
      <c r="G132" s="9" t="s">
        <v>303</v>
      </c>
      <c r="H132" s="9" t="s">
        <v>303</v>
      </c>
      <c r="I132" s="9" t="s">
        <v>303</v>
      </c>
      <c r="J132" s="9" t="s">
        <v>303</v>
      </c>
      <c r="K132" s="9" t="s">
        <v>303</v>
      </c>
      <c r="L132" s="9" t="s">
        <v>303</v>
      </c>
      <c r="M132" s="9" t="s">
        <v>303</v>
      </c>
      <c r="N132" s="9" t="s">
        <v>303</v>
      </c>
      <c r="O132" s="9" t="s">
        <v>303</v>
      </c>
      <c r="P132" s="9" t="s">
        <v>303</v>
      </c>
      <c r="Q132" s="9" t="s">
        <v>34</v>
      </c>
      <c r="R132" s="9" t="s">
        <v>34</v>
      </c>
      <c r="S132" s="9" t="s">
        <v>34</v>
      </c>
      <c r="T132" s="9" t="s">
        <v>34</v>
      </c>
      <c r="U132" s="9" t="s">
        <v>34</v>
      </c>
      <c r="V132" s="9" t="s">
        <v>34</v>
      </c>
      <c r="W132" s="9" t="s">
        <v>34</v>
      </c>
      <c r="X132" s="9" t="s">
        <v>34</v>
      </c>
      <c r="Y132" s="9" t="s">
        <v>34</v>
      </c>
      <c r="Z132" s="9" t="s">
        <v>34</v>
      </c>
      <c r="AA132" s="9" t="s">
        <v>34</v>
      </c>
      <c r="AB132" s="9" t="s">
        <v>34</v>
      </c>
      <c r="AC132" s="9" t="s">
        <v>34</v>
      </c>
      <c r="AD132" s="9" t="s">
        <v>34</v>
      </c>
      <c r="AE132" s="9" t="s">
        <v>34</v>
      </c>
      <c r="AF132" s="47" t="s">
        <v>34</v>
      </c>
      <c r="AG132" s="70"/>
      <c r="AH132" s="49"/>
      <c r="AI132" s="49"/>
      <c r="AJ132" s="49"/>
      <c r="AK132" s="86"/>
      <c r="AL132" s="84"/>
      <c r="AM132" s="82"/>
      <c r="AN132" s="80"/>
      <c r="AO132" s="78"/>
    </row>
    <row r="133" spans="1:41">
      <c r="A133" s="117"/>
      <c r="B133" s="4" t="s">
        <v>161</v>
      </c>
      <c r="C133" s="9" t="s">
        <v>33</v>
      </c>
      <c r="D133" s="9" t="s">
        <v>299</v>
      </c>
      <c r="E133" s="9" t="s">
        <v>33</v>
      </c>
      <c r="F133" s="9" t="s">
        <v>33</v>
      </c>
      <c r="G133" s="9" t="s">
        <v>303</v>
      </c>
      <c r="H133" s="9" t="s">
        <v>303</v>
      </c>
      <c r="I133" s="9" t="s">
        <v>303</v>
      </c>
      <c r="J133" s="9" t="s">
        <v>303</v>
      </c>
      <c r="K133" s="9" t="s">
        <v>303</v>
      </c>
      <c r="L133" s="9" t="s">
        <v>303</v>
      </c>
      <c r="M133" s="9" t="s">
        <v>34</v>
      </c>
      <c r="N133" s="9" t="s">
        <v>303</v>
      </c>
      <c r="O133" s="9" t="s">
        <v>303</v>
      </c>
      <c r="P133" s="9" t="s">
        <v>34</v>
      </c>
      <c r="Q133" s="9" t="s">
        <v>34</v>
      </c>
      <c r="R133" s="9" t="s">
        <v>34</v>
      </c>
      <c r="S133" s="9" t="s">
        <v>34</v>
      </c>
      <c r="T133" s="9" t="s">
        <v>34</v>
      </c>
      <c r="U133" s="9" t="s">
        <v>34</v>
      </c>
      <c r="V133" s="9" t="s">
        <v>34</v>
      </c>
      <c r="W133" s="9" t="s">
        <v>34</v>
      </c>
      <c r="X133" s="9" t="s">
        <v>34</v>
      </c>
      <c r="Y133" s="9" t="s">
        <v>34</v>
      </c>
      <c r="Z133" s="9" t="s">
        <v>34</v>
      </c>
      <c r="AA133" s="9" t="s">
        <v>34</v>
      </c>
      <c r="AB133" s="9" t="s">
        <v>34</v>
      </c>
      <c r="AC133" s="9" t="s">
        <v>34</v>
      </c>
      <c r="AD133" s="9" t="s">
        <v>34</v>
      </c>
      <c r="AE133" s="9" t="s">
        <v>34</v>
      </c>
      <c r="AF133" s="47" t="s">
        <v>34</v>
      </c>
      <c r="AG133" s="70"/>
      <c r="AH133" s="49"/>
      <c r="AI133" s="49"/>
      <c r="AJ133" s="49"/>
      <c r="AK133" s="86"/>
      <c r="AL133" s="84"/>
      <c r="AM133" s="82"/>
      <c r="AN133" s="80"/>
      <c r="AO133" s="78"/>
    </row>
    <row r="134" spans="1:41">
      <c r="A134" s="117"/>
      <c r="B134" s="4" t="s">
        <v>162</v>
      </c>
      <c r="C134" s="9" t="s">
        <v>299</v>
      </c>
      <c r="D134" s="9" t="s">
        <v>299</v>
      </c>
      <c r="E134" s="9" t="s">
        <v>299</v>
      </c>
      <c r="F134" s="9" t="s">
        <v>33</v>
      </c>
      <c r="G134" s="9" t="s">
        <v>299</v>
      </c>
      <c r="H134" s="9" t="s">
        <v>299</v>
      </c>
      <c r="I134" s="9" t="s">
        <v>34</v>
      </c>
      <c r="J134" s="9" t="s">
        <v>34</v>
      </c>
      <c r="K134" s="9" t="s">
        <v>34</v>
      </c>
      <c r="L134" s="9" t="s">
        <v>34</v>
      </c>
      <c r="M134" s="9" t="s">
        <v>34</v>
      </c>
      <c r="N134" s="9" t="s">
        <v>34</v>
      </c>
      <c r="O134" s="9" t="s">
        <v>34</v>
      </c>
      <c r="P134" s="9" t="s">
        <v>34</v>
      </c>
      <c r="Q134" s="9" t="s">
        <v>34</v>
      </c>
      <c r="R134" s="9" t="s">
        <v>34</v>
      </c>
      <c r="S134" s="9" t="s">
        <v>34</v>
      </c>
      <c r="T134" s="9" t="s">
        <v>34</v>
      </c>
      <c r="U134" s="9" t="s">
        <v>34</v>
      </c>
      <c r="V134" s="9" t="s">
        <v>34</v>
      </c>
      <c r="W134" s="9" t="s">
        <v>34</v>
      </c>
      <c r="X134" s="9" t="s">
        <v>34</v>
      </c>
      <c r="Y134" s="9" t="s">
        <v>34</v>
      </c>
      <c r="Z134" s="9" t="s">
        <v>34</v>
      </c>
      <c r="AA134" s="9" t="s">
        <v>34</v>
      </c>
      <c r="AB134" s="9" t="s">
        <v>34</v>
      </c>
      <c r="AC134" s="9" t="s">
        <v>34</v>
      </c>
      <c r="AD134" s="9" t="s">
        <v>34</v>
      </c>
      <c r="AE134" s="9" t="s">
        <v>34</v>
      </c>
      <c r="AF134" s="47" t="s">
        <v>34</v>
      </c>
      <c r="AG134" s="70"/>
      <c r="AH134" s="49"/>
      <c r="AI134" s="49"/>
      <c r="AJ134" s="49"/>
      <c r="AK134" s="49"/>
      <c r="AL134" s="84"/>
      <c r="AM134" s="82"/>
      <c r="AN134" s="80"/>
      <c r="AO134" s="78"/>
    </row>
    <row r="135" spans="1:41">
      <c r="A135" s="117"/>
      <c r="B135" s="4" t="s">
        <v>163</v>
      </c>
      <c r="C135" s="9" t="s">
        <v>33</v>
      </c>
      <c r="D135" s="9" t="s">
        <v>33</v>
      </c>
      <c r="E135" s="9" t="s">
        <v>33</v>
      </c>
      <c r="F135" s="9" t="s">
        <v>33</v>
      </c>
      <c r="G135" s="9" t="s">
        <v>33</v>
      </c>
      <c r="H135" s="9" t="s">
        <v>33</v>
      </c>
      <c r="I135" s="9" t="s">
        <v>33</v>
      </c>
      <c r="J135" s="9" t="s">
        <v>33</v>
      </c>
      <c r="K135" s="9" t="s">
        <v>33</v>
      </c>
      <c r="L135" s="9" t="s">
        <v>303</v>
      </c>
      <c r="M135" s="9" t="s">
        <v>33</v>
      </c>
      <c r="N135" s="9" t="s">
        <v>33</v>
      </c>
      <c r="O135" s="9" t="s">
        <v>303</v>
      </c>
      <c r="P135" s="9" t="s">
        <v>303</v>
      </c>
      <c r="Q135" s="9" t="s">
        <v>303</v>
      </c>
      <c r="R135" s="9" t="s">
        <v>34</v>
      </c>
      <c r="S135" s="9" t="s">
        <v>34</v>
      </c>
      <c r="T135" s="9" t="s">
        <v>34</v>
      </c>
      <c r="U135" s="9" t="s">
        <v>34</v>
      </c>
      <c r="V135" s="9" t="s">
        <v>34</v>
      </c>
      <c r="W135" s="9" t="s">
        <v>34</v>
      </c>
      <c r="X135" s="9" t="s">
        <v>34</v>
      </c>
      <c r="Y135" s="9" t="s">
        <v>34</v>
      </c>
      <c r="Z135" s="9" t="s">
        <v>34</v>
      </c>
      <c r="AA135" s="9" t="s">
        <v>34</v>
      </c>
      <c r="AB135" s="9" t="s">
        <v>34</v>
      </c>
      <c r="AC135" s="9" t="s">
        <v>34</v>
      </c>
      <c r="AD135" s="9" t="s">
        <v>34</v>
      </c>
      <c r="AE135" s="9" t="s">
        <v>34</v>
      </c>
      <c r="AF135" s="47" t="s">
        <v>34</v>
      </c>
      <c r="AG135" s="70"/>
      <c r="AH135" s="49"/>
      <c r="AI135" s="49"/>
      <c r="AJ135" s="49"/>
      <c r="AK135" s="49"/>
      <c r="AL135" s="84"/>
      <c r="AM135" s="82"/>
      <c r="AN135" s="80"/>
      <c r="AO135" s="78"/>
    </row>
    <row r="136" spans="1:41">
      <c r="A136" s="117"/>
      <c r="B136" s="4" t="s">
        <v>164</v>
      </c>
      <c r="C136" s="9" t="s">
        <v>33</v>
      </c>
      <c r="D136" s="9" t="s">
        <v>33</v>
      </c>
      <c r="E136" s="9" t="s">
        <v>33</v>
      </c>
      <c r="F136" s="9" t="s">
        <v>33</v>
      </c>
      <c r="G136" s="9" t="s">
        <v>303</v>
      </c>
      <c r="H136" s="9" t="s">
        <v>303</v>
      </c>
      <c r="I136" s="9" t="s">
        <v>303</v>
      </c>
      <c r="J136" s="9" t="s">
        <v>303</v>
      </c>
      <c r="K136" s="9" t="s">
        <v>303</v>
      </c>
      <c r="L136" s="9" t="s">
        <v>34</v>
      </c>
      <c r="M136" s="9" t="s">
        <v>34</v>
      </c>
      <c r="N136" s="9" t="s">
        <v>34</v>
      </c>
      <c r="O136" s="9" t="s">
        <v>34</v>
      </c>
      <c r="P136" s="9" t="s">
        <v>34</v>
      </c>
      <c r="Q136" s="9" t="s">
        <v>34</v>
      </c>
      <c r="R136" s="9" t="s">
        <v>34</v>
      </c>
      <c r="S136" s="9" t="s">
        <v>34</v>
      </c>
      <c r="T136" s="9" t="s">
        <v>34</v>
      </c>
      <c r="U136" s="9" t="s">
        <v>34</v>
      </c>
      <c r="V136" s="9" t="s">
        <v>34</v>
      </c>
      <c r="W136" s="9" t="s">
        <v>34</v>
      </c>
      <c r="X136" s="9" t="s">
        <v>34</v>
      </c>
      <c r="Y136" s="9" t="s">
        <v>34</v>
      </c>
      <c r="Z136" s="9" t="s">
        <v>34</v>
      </c>
      <c r="AA136" s="9" t="s">
        <v>34</v>
      </c>
      <c r="AB136" s="9" t="s">
        <v>34</v>
      </c>
      <c r="AC136" s="9" t="s">
        <v>34</v>
      </c>
      <c r="AD136" s="9" t="s">
        <v>34</v>
      </c>
      <c r="AE136" s="9" t="s">
        <v>34</v>
      </c>
      <c r="AF136" s="47" t="s">
        <v>34</v>
      </c>
      <c r="AG136" s="70"/>
      <c r="AH136" s="49"/>
      <c r="AI136" s="49"/>
      <c r="AJ136" s="49"/>
      <c r="AK136" s="49"/>
      <c r="AL136" s="49"/>
      <c r="AM136" s="82"/>
      <c r="AN136" s="80"/>
      <c r="AO136" s="78"/>
    </row>
    <row r="137" spans="1:41">
      <c r="A137" s="117"/>
      <c r="B137" s="4" t="s">
        <v>165</v>
      </c>
      <c r="C137" s="9" t="s">
        <v>33</v>
      </c>
      <c r="D137" s="9" t="s">
        <v>33</v>
      </c>
      <c r="E137" s="9" t="s">
        <v>33</v>
      </c>
      <c r="F137" s="9" t="s">
        <v>33</v>
      </c>
      <c r="G137" s="9" t="s">
        <v>303</v>
      </c>
      <c r="H137" s="9" t="s">
        <v>303</v>
      </c>
      <c r="I137" s="9" t="s">
        <v>303</v>
      </c>
      <c r="J137" s="9" t="s">
        <v>34</v>
      </c>
      <c r="K137" s="9" t="s">
        <v>34</v>
      </c>
      <c r="L137" s="9" t="s">
        <v>34</v>
      </c>
      <c r="M137" s="9" t="s">
        <v>34</v>
      </c>
      <c r="N137" s="9" t="s">
        <v>34</v>
      </c>
      <c r="O137" s="9" t="s">
        <v>34</v>
      </c>
      <c r="P137" s="9" t="s">
        <v>34</v>
      </c>
      <c r="Q137" s="9" t="s">
        <v>34</v>
      </c>
      <c r="R137" s="9" t="s">
        <v>34</v>
      </c>
      <c r="S137" s="9" t="s">
        <v>34</v>
      </c>
      <c r="T137" s="9" t="s">
        <v>34</v>
      </c>
      <c r="U137" s="9" t="s">
        <v>34</v>
      </c>
      <c r="V137" s="9" t="s">
        <v>34</v>
      </c>
      <c r="W137" s="9" t="s">
        <v>34</v>
      </c>
      <c r="X137" s="9" t="s">
        <v>34</v>
      </c>
      <c r="Y137" s="9" t="s">
        <v>34</v>
      </c>
      <c r="Z137" s="9" t="s">
        <v>34</v>
      </c>
      <c r="AA137" s="9" t="s">
        <v>34</v>
      </c>
      <c r="AB137" s="9" t="s">
        <v>34</v>
      </c>
      <c r="AC137" s="9" t="s">
        <v>34</v>
      </c>
      <c r="AD137" s="9" t="s">
        <v>34</v>
      </c>
      <c r="AE137" s="9" t="s">
        <v>34</v>
      </c>
      <c r="AF137" s="47" t="s">
        <v>34</v>
      </c>
      <c r="AG137" s="70"/>
      <c r="AH137" s="50"/>
      <c r="AI137" s="49"/>
      <c r="AJ137" s="49"/>
      <c r="AK137" s="49"/>
      <c r="AL137" s="49"/>
      <c r="AM137" s="49"/>
      <c r="AN137" s="80"/>
      <c r="AO137" s="78"/>
    </row>
    <row r="138" spans="1:41">
      <c r="A138" s="117"/>
      <c r="B138" s="4" t="s">
        <v>166</v>
      </c>
      <c r="C138" s="9" t="s">
        <v>299</v>
      </c>
      <c r="D138" s="9" t="s">
        <v>299</v>
      </c>
      <c r="E138" s="9" t="s">
        <v>299</v>
      </c>
      <c r="F138" s="9" t="s">
        <v>299</v>
      </c>
      <c r="G138" s="9" t="s">
        <v>303</v>
      </c>
      <c r="H138" s="9" t="s">
        <v>34</v>
      </c>
      <c r="I138" s="9" t="s">
        <v>34</v>
      </c>
      <c r="J138" s="9" t="s">
        <v>34</v>
      </c>
      <c r="K138" s="9" t="s">
        <v>34</v>
      </c>
      <c r="L138" s="9" t="s">
        <v>34</v>
      </c>
      <c r="M138" s="9" t="s">
        <v>34</v>
      </c>
      <c r="N138" s="9" t="s">
        <v>34</v>
      </c>
      <c r="O138" s="9" t="s">
        <v>34</v>
      </c>
      <c r="P138" s="9" t="s">
        <v>34</v>
      </c>
      <c r="Q138" s="9" t="s">
        <v>34</v>
      </c>
      <c r="R138" s="9" t="s">
        <v>34</v>
      </c>
      <c r="S138" s="9" t="s">
        <v>34</v>
      </c>
      <c r="T138" s="9" t="s">
        <v>34</v>
      </c>
      <c r="U138" s="9" t="s">
        <v>34</v>
      </c>
      <c r="V138" s="9" t="s">
        <v>34</v>
      </c>
      <c r="W138" s="9" t="s">
        <v>34</v>
      </c>
      <c r="X138" s="9" t="s">
        <v>34</v>
      </c>
      <c r="Y138" s="9" t="s">
        <v>34</v>
      </c>
      <c r="Z138" s="9" t="s">
        <v>34</v>
      </c>
      <c r="AA138" s="9" t="s">
        <v>34</v>
      </c>
      <c r="AB138" s="9" t="s">
        <v>34</v>
      </c>
      <c r="AC138" s="9" t="s">
        <v>34</v>
      </c>
      <c r="AD138" s="9" t="s">
        <v>34</v>
      </c>
      <c r="AE138" s="9" t="s">
        <v>34</v>
      </c>
      <c r="AF138" s="47" t="s">
        <v>34</v>
      </c>
      <c r="AG138" s="70"/>
      <c r="AN138" s="80"/>
      <c r="AO138" s="78"/>
    </row>
    <row r="139" spans="1:41">
      <c r="A139" s="117"/>
      <c r="B139" s="4" t="s">
        <v>167</v>
      </c>
      <c r="C139" s="9" t="s">
        <v>33</v>
      </c>
      <c r="D139" s="9" t="s">
        <v>33</v>
      </c>
      <c r="E139" s="9" t="s">
        <v>303</v>
      </c>
      <c r="F139" s="9" t="s">
        <v>33</v>
      </c>
      <c r="G139" s="9" t="s">
        <v>34</v>
      </c>
      <c r="H139" s="9" t="s">
        <v>34</v>
      </c>
      <c r="I139" s="9" t="s">
        <v>34</v>
      </c>
      <c r="J139" s="9" t="s">
        <v>34</v>
      </c>
      <c r="K139" s="9" t="s">
        <v>34</v>
      </c>
      <c r="L139" s="9" t="s">
        <v>34</v>
      </c>
      <c r="M139" s="9" t="s">
        <v>34</v>
      </c>
      <c r="N139" s="9" t="s">
        <v>34</v>
      </c>
      <c r="O139" s="9" t="s">
        <v>34</v>
      </c>
      <c r="P139" s="9" t="s">
        <v>34</v>
      </c>
      <c r="Q139" s="9" t="s">
        <v>34</v>
      </c>
      <c r="R139" s="9" t="s">
        <v>34</v>
      </c>
      <c r="S139" s="9" t="s">
        <v>34</v>
      </c>
      <c r="T139" s="9" t="s">
        <v>34</v>
      </c>
      <c r="U139" s="9" t="s">
        <v>34</v>
      </c>
      <c r="V139" s="9" t="s">
        <v>34</v>
      </c>
      <c r="W139" s="9" t="s">
        <v>34</v>
      </c>
      <c r="X139" s="9" t="s">
        <v>34</v>
      </c>
      <c r="Y139" s="9" t="s">
        <v>34</v>
      </c>
      <c r="Z139" s="9" t="s">
        <v>34</v>
      </c>
      <c r="AA139" s="9" t="s">
        <v>34</v>
      </c>
      <c r="AB139" s="9" t="s">
        <v>34</v>
      </c>
      <c r="AC139" s="9" t="s">
        <v>34</v>
      </c>
      <c r="AD139" s="9" t="s">
        <v>34</v>
      </c>
      <c r="AE139" s="9" t="s">
        <v>34</v>
      </c>
      <c r="AF139" s="47" t="s">
        <v>34</v>
      </c>
      <c r="AG139" s="70"/>
      <c r="AO139" s="78"/>
    </row>
    <row r="140" spans="1:41">
      <c r="A140" s="117"/>
      <c r="B140" s="4" t="s">
        <v>168</v>
      </c>
      <c r="C140" s="9" t="s">
        <v>33</v>
      </c>
      <c r="D140" s="9" t="s">
        <v>33</v>
      </c>
      <c r="E140" s="9" t="s">
        <v>34</v>
      </c>
      <c r="F140" s="9" t="s">
        <v>34</v>
      </c>
      <c r="G140" s="9" t="s">
        <v>34</v>
      </c>
      <c r="H140" s="9" t="s">
        <v>34</v>
      </c>
      <c r="I140" s="9" t="s">
        <v>34</v>
      </c>
      <c r="J140" s="9" t="s">
        <v>303</v>
      </c>
      <c r="K140" s="9" t="s">
        <v>34</v>
      </c>
      <c r="L140" s="9" t="s">
        <v>34</v>
      </c>
      <c r="M140" s="9" t="s">
        <v>34</v>
      </c>
      <c r="N140" s="9" t="s">
        <v>34</v>
      </c>
      <c r="O140" s="9" t="s">
        <v>34</v>
      </c>
      <c r="P140" s="9" t="s">
        <v>34</v>
      </c>
      <c r="Q140" s="9" t="s">
        <v>34</v>
      </c>
      <c r="R140" s="9" t="s">
        <v>34</v>
      </c>
      <c r="S140" s="9" t="s">
        <v>34</v>
      </c>
      <c r="T140" s="9" t="s">
        <v>34</v>
      </c>
      <c r="U140" s="9" t="s">
        <v>34</v>
      </c>
      <c r="V140" s="9" t="s">
        <v>34</v>
      </c>
      <c r="W140" s="9" t="s">
        <v>34</v>
      </c>
      <c r="X140" s="9" t="s">
        <v>34</v>
      </c>
      <c r="Y140" s="9" t="s">
        <v>34</v>
      </c>
      <c r="Z140" s="9" t="s">
        <v>34</v>
      </c>
      <c r="AA140" s="9" t="s">
        <v>34</v>
      </c>
      <c r="AB140" s="9" t="s">
        <v>34</v>
      </c>
      <c r="AC140" s="9" t="s">
        <v>34</v>
      </c>
      <c r="AD140" s="9" t="s">
        <v>34</v>
      </c>
      <c r="AE140" s="9" t="s">
        <v>34</v>
      </c>
      <c r="AF140" s="47" t="s">
        <v>34</v>
      </c>
      <c r="AG140" s="70"/>
      <c r="AO140" s="78"/>
    </row>
    <row r="141" spans="1:41">
      <c r="A141" s="117"/>
      <c r="B141" s="4" t="s">
        <v>169</v>
      </c>
      <c r="C141" s="9" t="s">
        <v>33</v>
      </c>
      <c r="D141" s="9" t="s">
        <v>33</v>
      </c>
      <c r="E141" s="9" t="s">
        <v>34</v>
      </c>
      <c r="F141" s="9" t="s">
        <v>303</v>
      </c>
      <c r="G141" s="9" t="s">
        <v>34</v>
      </c>
      <c r="H141" s="9" t="s">
        <v>34</v>
      </c>
      <c r="I141" s="9" t="s">
        <v>34</v>
      </c>
      <c r="J141" s="9" t="s">
        <v>34</v>
      </c>
      <c r="K141" s="9" t="s">
        <v>34</v>
      </c>
      <c r="L141" s="9" t="s">
        <v>34</v>
      </c>
      <c r="M141" s="9" t="s">
        <v>34</v>
      </c>
      <c r="N141" s="9" t="s">
        <v>34</v>
      </c>
      <c r="O141" s="9" t="s">
        <v>34</v>
      </c>
      <c r="P141" s="9" t="s">
        <v>34</v>
      </c>
      <c r="Q141" s="9" t="s">
        <v>34</v>
      </c>
      <c r="R141" s="9" t="s">
        <v>34</v>
      </c>
      <c r="S141" s="9" t="s">
        <v>34</v>
      </c>
      <c r="T141" s="9" t="s">
        <v>34</v>
      </c>
      <c r="U141" s="9" t="s">
        <v>34</v>
      </c>
      <c r="V141" s="9" t="s">
        <v>34</v>
      </c>
      <c r="W141" s="9" t="s">
        <v>34</v>
      </c>
      <c r="X141" s="9" t="s">
        <v>34</v>
      </c>
      <c r="Y141" s="9" t="s">
        <v>34</v>
      </c>
      <c r="Z141" s="9" t="s">
        <v>34</v>
      </c>
      <c r="AA141" s="9" t="s">
        <v>34</v>
      </c>
      <c r="AB141" s="9" t="s">
        <v>34</v>
      </c>
      <c r="AC141" s="9" t="s">
        <v>34</v>
      </c>
      <c r="AD141" s="9" t="s">
        <v>34</v>
      </c>
      <c r="AE141" s="9" t="s">
        <v>34</v>
      </c>
      <c r="AF141" s="47" t="s">
        <v>34</v>
      </c>
      <c r="AG141" s="70"/>
      <c r="AO141" s="78"/>
    </row>
    <row r="142" spans="1:41" ht="15.75" customHeight="1" thickBot="1">
      <c r="A142" s="119"/>
      <c r="B142" s="25" t="s">
        <v>170</v>
      </c>
      <c r="C142" s="20" t="s">
        <v>33</v>
      </c>
      <c r="D142" s="20" t="s">
        <v>33</v>
      </c>
      <c r="E142" s="20" t="s">
        <v>34</v>
      </c>
      <c r="F142" s="20" t="s">
        <v>34</v>
      </c>
      <c r="G142" s="20" t="s">
        <v>34</v>
      </c>
      <c r="H142" s="20" t="s">
        <v>34</v>
      </c>
      <c r="I142" s="20" t="s">
        <v>34</v>
      </c>
      <c r="J142" s="20" t="s">
        <v>34</v>
      </c>
      <c r="K142" s="20" t="s">
        <v>34</v>
      </c>
      <c r="L142" s="20" t="s">
        <v>34</v>
      </c>
      <c r="M142" s="20" t="s">
        <v>34</v>
      </c>
      <c r="N142" s="20" t="s">
        <v>34</v>
      </c>
      <c r="O142" s="20" t="s">
        <v>34</v>
      </c>
      <c r="P142" s="20" t="s">
        <v>34</v>
      </c>
      <c r="Q142" s="20" t="s">
        <v>34</v>
      </c>
      <c r="R142" s="20" t="s">
        <v>34</v>
      </c>
      <c r="S142" s="20" t="s">
        <v>34</v>
      </c>
      <c r="T142" s="20" t="s">
        <v>34</v>
      </c>
      <c r="U142" s="20" t="s">
        <v>34</v>
      </c>
      <c r="V142" s="20" t="s">
        <v>34</v>
      </c>
      <c r="W142" s="20" t="s">
        <v>34</v>
      </c>
      <c r="X142" s="20" t="s">
        <v>34</v>
      </c>
      <c r="Y142" s="20" t="s">
        <v>34</v>
      </c>
      <c r="Z142" s="20" t="s">
        <v>34</v>
      </c>
      <c r="AA142" s="20" t="s">
        <v>34</v>
      </c>
      <c r="AB142" s="20" t="s">
        <v>34</v>
      </c>
      <c r="AC142" s="20" t="s">
        <v>34</v>
      </c>
      <c r="AD142" s="20" t="s">
        <v>34</v>
      </c>
      <c r="AE142" s="20" t="s">
        <v>34</v>
      </c>
      <c r="AF142" s="48" t="s">
        <v>34</v>
      </c>
      <c r="AG142" s="70"/>
      <c r="AO142" s="78"/>
    </row>
    <row r="143" spans="1:41" ht="15.75" customHeight="1" thickBot="1">
      <c r="A143" s="61"/>
      <c r="B143"/>
      <c r="AF143" s="62"/>
    </row>
    <row r="144" spans="1:41" ht="15.75" customHeight="1" thickBot="1">
      <c r="A144" s="127" t="s">
        <v>171</v>
      </c>
      <c r="B144" s="124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6"/>
    </row>
    <row r="145" spans="1:41" ht="15" customHeight="1">
      <c r="A145" s="116" t="s">
        <v>172</v>
      </c>
      <c r="B145" s="26" t="s">
        <v>173</v>
      </c>
      <c r="C145" s="18" t="s">
        <v>33</v>
      </c>
      <c r="D145" s="18" t="s">
        <v>33</v>
      </c>
      <c r="E145" s="18" t="s">
        <v>33</v>
      </c>
      <c r="F145" s="18" t="s">
        <v>33</v>
      </c>
      <c r="G145" s="18" t="s">
        <v>33</v>
      </c>
      <c r="H145" s="18" t="s">
        <v>33</v>
      </c>
      <c r="I145" s="18" t="s">
        <v>33</v>
      </c>
      <c r="J145" s="18" t="s">
        <v>33</v>
      </c>
      <c r="K145" s="18" t="s">
        <v>33</v>
      </c>
      <c r="L145" s="18" t="s">
        <v>33</v>
      </c>
      <c r="M145" s="18" t="s">
        <v>33</v>
      </c>
      <c r="N145" s="18" t="s">
        <v>33</v>
      </c>
      <c r="O145" s="18" t="s">
        <v>33</v>
      </c>
      <c r="P145" s="18" t="s">
        <v>33</v>
      </c>
      <c r="Q145" s="18" t="s">
        <v>33</v>
      </c>
      <c r="R145" s="18" t="s">
        <v>33</v>
      </c>
      <c r="S145" s="18" t="s">
        <v>33</v>
      </c>
      <c r="T145" s="18" t="s">
        <v>33</v>
      </c>
      <c r="U145" s="18" t="s">
        <v>33</v>
      </c>
      <c r="V145" s="18" t="s">
        <v>33</v>
      </c>
      <c r="W145" s="18" t="s">
        <v>33</v>
      </c>
      <c r="X145" s="18" t="s">
        <v>33</v>
      </c>
      <c r="Y145" s="18" t="s">
        <v>33</v>
      </c>
      <c r="Z145" s="18" t="s">
        <v>33</v>
      </c>
      <c r="AA145" s="18" t="s">
        <v>33</v>
      </c>
      <c r="AB145" s="18" t="s">
        <v>33</v>
      </c>
      <c r="AC145" s="18" t="s">
        <v>33</v>
      </c>
      <c r="AD145" s="18" t="s">
        <v>33</v>
      </c>
      <c r="AE145" s="18" t="s">
        <v>303</v>
      </c>
      <c r="AF145" s="55" t="s">
        <v>303</v>
      </c>
      <c r="AG145" s="90" t="s">
        <v>359</v>
      </c>
      <c r="AH145" s="133" t="s">
        <v>360</v>
      </c>
      <c r="AI145" s="73" t="s">
        <v>361</v>
      </c>
      <c r="AJ145" s="75" t="s">
        <v>362</v>
      </c>
      <c r="AK145" s="85" t="s">
        <v>363</v>
      </c>
      <c r="AL145" s="83" t="s">
        <v>364</v>
      </c>
      <c r="AM145" s="81" t="s">
        <v>365</v>
      </c>
      <c r="AN145" s="79" t="s">
        <v>366</v>
      </c>
      <c r="AO145" s="77" t="s">
        <v>367</v>
      </c>
    </row>
    <row r="146" spans="1:41">
      <c r="A146" s="117"/>
      <c r="B146" s="5" t="s">
        <v>174</v>
      </c>
      <c r="C146" s="9" t="s">
        <v>33</v>
      </c>
      <c r="D146" s="9" t="s">
        <v>33</v>
      </c>
      <c r="E146" s="9" t="s">
        <v>33</v>
      </c>
      <c r="F146" s="9" t="s">
        <v>33</v>
      </c>
      <c r="G146" s="9" t="s">
        <v>33</v>
      </c>
      <c r="H146" s="9" t="s">
        <v>33</v>
      </c>
      <c r="I146" s="9" t="s">
        <v>33</v>
      </c>
      <c r="J146" s="9" t="s">
        <v>33</v>
      </c>
      <c r="K146" s="9" t="s">
        <v>33</v>
      </c>
      <c r="L146" s="9" t="s">
        <v>33</v>
      </c>
      <c r="M146" s="9" t="s">
        <v>33</v>
      </c>
      <c r="N146" s="9" t="s">
        <v>33</v>
      </c>
      <c r="O146" s="9" t="s">
        <v>33</v>
      </c>
      <c r="P146" s="9" t="s">
        <v>33</v>
      </c>
      <c r="Q146" s="9" t="s">
        <v>33</v>
      </c>
      <c r="R146" s="9" t="s">
        <v>33</v>
      </c>
      <c r="S146" s="9" t="s">
        <v>33</v>
      </c>
      <c r="T146" s="9" t="s">
        <v>33</v>
      </c>
      <c r="U146" s="9" t="s">
        <v>33</v>
      </c>
      <c r="V146" s="9" t="s">
        <v>33</v>
      </c>
      <c r="W146" s="9" t="s">
        <v>33</v>
      </c>
      <c r="X146" s="9" t="s">
        <v>33</v>
      </c>
      <c r="Y146" s="9" t="s">
        <v>33</v>
      </c>
      <c r="Z146" s="9" t="s">
        <v>33</v>
      </c>
      <c r="AA146" s="9" t="s">
        <v>33</v>
      </c>
      <c r="AB146" s="9" t="s">
        <v>33</v>
      </c>
      <c r="AC146" s="9" t="s">
        <v>33</v>
      </c>
      <c r="AD146" s="9" t="s">
        <v>303</v>
      </c>
      <c r="AE146" s="9" t="s">
        <v>303</v>
      </c>
      <c r="AF146" s="56" t="s">
        <v>303</v>
      </c>
      <c r="AG146" s="90"/>
      <c r="AH146" s="134"/>
      <c r="AI146" s="74"/>
      <c r="AJ146" s="76"/>
      <c r="AK146" s="86"/>
      <c r="AL146" s="84"/>
      <c r="AM146" s="82"/>
      <c r="AN146" s="80"/>
      <c r="AO146" s="78"/>
    </row>
    <row r="147" spans="1:41">
      <c r="A147" s="117"/>
      <c r="B147" s="5" t="s">
        <v>175</v>
      </c>
      <c r="C147" s="9" t="s">
        <v>33</v>
      </c>
      <c r="D147" s="9" t="s">
        <v>33</v>
      </c>
      <c r="E147" s="9" t="s">
        <v>33</v>
      </c>
      <c r="F147" s="9" t="s">
        <v>33</v>
      </c>
      <c r="G147" s="9" t="s">
        <v>33</v>
      </c>
      <c r="H147" s="9" t="s">
        <v>33</v>
      </c>
      <c r="I147" s="9" t="s">
        <v>33</v>
      </c>
      <c r="J147" s="9" t="s">
        <v>33</v>
      </c>
      <c r="K147" s="9" t="s">
        <v>33</v>
      </c>
      <c r="L147" s="9" t="s">
        <v>33</v>
      </c>
      <c r="M147" s="9" t="s">
        <v>33</v>
      </c>
      <c r="N147" s="9" t="s">
        <v>33</v>
      </c>
      <c r="O147" s="9" t="s">
        <v>33</v>
      </c>
      <c r="P147" s="9" t="s">
        <v>33</v>
      </c>
      <c r="Q147" s="9" t="s">
        <v>33</v>
      </c>
      <c r="R147" s="9" t="s">
        <v>33</v>
      </c>
      <c r="S147" s="9" t="s">
        <v>33</v>
      </c>
      <c r="T147" s="9" t="s">
        <v>33</v>
      </c>
      <c r="U147" s="9" t="s">
        <v>33</v>
      </c>
      <c r="V147" s="9" t="s">
        <v>33</v>
      </c>
      <c r="W147" s="9" t="s">
        <v>33</v>
      </c>
      <c r="X147" s="9" t="s">
        <v>33</v>
      </c>
      <c r="Y147" s="9" t="s">
        <v>33</v>
      </c>
      <c r="Z147" s="9" t="s">
        <v>33</v>
      </c>
      <c r="AA147" s="9" t="s">
        <v>33</v>
      </c>
      <c r="AB147" s="9" t="s">
        <v>33</v>
      </c>
      <c r="AC147" s="9" t="s">
        <v>33</v>
      </c>
      <c r="AD147" s="9" t="s">
        <v>303</v>
      </c>
      <c r="AE147" s="9" t="s">
        <v>303</v>
      </c>
      <c r="AF147" s="56" t="s">
        <v>303</v>
      </c>
      <c r="AG147" s="90"/>
      <c r="AH147" s="134"/>
      <c r="AI147" s="74"/>
      <c r="AJ147" s="76"/>
      <c r="AK147" s="86"/>
      <c r="AL147" s="84"/>
      <c r="AM147" s="82"/>
      <c r="AN147" s="80"/>
      <c r="AO147" s="78"/>
    </row>
    <row r="148" spans="1:41">
      <c r="A148" s="117"/>
      <c r="B148" s="5" t="s">
        <v>176</v>
      </c>
      <c r="C148" s="9" t="s">
        <v>33</v>
      </c>
      <c r="D148" s="9" t="s">
        <v>33</v>
      </c>
      <c r="E148" s="9" t="s">
        <v>33</v>
      </c>
      <c r="F148" s="9" t="s">
        <v>33</v>
      </c>
      <c r="G148" s="9" t="s">
        <v>33</v>
      </c>
      <c r="H148" s="9" t="s">
        <v>33</v>
      </c>
      <c r="I148" s="9" t="s">
        <v>33</v>
      </c>
      <c r="J148" s="9" t="s">
        <v>33</v>
      </c>
      <c r="K148" s="9" t="s">
        <v>33</v>
      </c>
      <c r="L148" s="9" t="s">
        <v>33</v>
      </c>
      <c r="M148" s="9" t="s">
        <v>33</v>
      </c>
      <c r="N148" s="9" t="s">
        <v>33</v>
      </c>
      <c r="O148" s="9" t="s">
        <v>33</v>
      </c>
      <c r="P148" s="9" t="s">
        <v>33</v>
      </c>
      <c r="Q148" s="9" t="s">
        <v>33</v>
      </c>
      <c r="R148" s="9" t="s">
        <v>33</v>
      </c>
      <c r="S148" s="9" t="s">
        <v>33</v>
      </c>
      <c r="T148" s="9" t="s">
        <v>33</v>
      </c>
      <c r="U148" s="9" t="s">
        <v>33</v>
      </c>
      <c r="V148" s="9" t="s">
        <v>33</v>
      </c>
      <c r="W148" s="9" t="s">
        <v>33</v>
      </c>
      <c r="X148" s="9" t="s">
        <v>33</v>
      </c>
      <c r="Y148" s="9" t="s">
        <v>33</v>
      </c>
      <c r="Z148" s="9" t="s">
        <v>33</v>
      </c>
      <c r="AA148" s="9" t="s">
        <v>33</v>
      </c>
      <c r="AB148" s="9" t="s">
        <v>33</v>
      </c>
      <c r="AC148" s="9" t="s">
        <v>33</v>
      </c>
      <c r="AD148" s="9" t="s">
        <v>303</v>
      </c>
      <c r="AE148" s="9" t="s">
        <v>303</v>
      </c>
      <c r="AF148" s="56" t="s">
        <v>34</v>
      </c>
      <c r="AG148" s="135"/>
      <c r="AH148" s="134"/>
      <c r="AI148" s="74"/>
      <c r="AJ148" s="76"/>
      <c r="AK148" s="86"/>
      <c r="AL148" s="84"/>
      <c r="AM148" s="82"/>
      <c r="AN148" s="80"/>
      <c r="AO148" s="78"/>
    </row>
    <row r="149" spans="1:41">
      <c r="A149" s="117"/>
      <c r="B149" s="5" t="s">
        <v>177</v>
      </c>
      <c r="C149" s="9" t="s">
        <v>33</v>
      </c>
      <c r="D149" s="9" t="s">
        <v>33</v>
      </c>
      <c r="E149" s="9" t="s">
        <v>33</v>
      </c>
      <c r="F149" s="9" t="s">
        <v>33</v>
      </c>
      <c r="G149" s="9" t="s">
        <v>33</v>
      </c>
      <c r="H149" s="9" t="s">
        <v>33</v>
      </c>
      <c r="I149" s="9" t="s">
        <v>33</v>
      </c>
      <c r="J149" s="9" t="s">
        <v>33</v>
      </c>
      <c r="K149" s="9" t="s">
        <v>33</v>
      </c>
      <c r="L149" s="9" t="s">
        <v>33</v>
      </c>
      <c r="M149" s="9" t="s">
        <v>33</v>
      </c>
      <c r="N149" s="9" t="s">
        <v>33</v>
      </c>
      <c r="O149" s="9" t="s">
        <v>33</v>
      </c>
      <c r="P149" s="9" t="s">
        <v>33</v>
      </c>
      <c r="Q149" s="9" t="s">
        <v>33</v>
      </c>
      <c r="R149" s="9" t="s">
        <v>33</v>
      </c>
      <c r="S149" s="9" t="s">
        <v>33</v>
      </c>
      <c r="T149" s="9" t="s">
        <v>33</v>
      </c>
      <c r="U149" s="9" t="s">
        <v>33</v>
      </c>
      <c r="V149" s="9" t="s">
        <v>33</v>
      </c>
      <c r="W149" s="9" t="s">
        <v>33</v>
      </c>
      <c r="X149" s="9" t="s">
        <v>33</v>
      </c>
      <c r="Y149" s="9" t="s">
        <v>33</v>
      </c>
      <c r="Z149" s="9" t="s">
        <v>33</v>
      </c>
      <c r="AA149" s="9" t="s">
        <v>33</v>
      </c>
      <c r="AB149" s="9" t="s">
        <v>33</v>
      </c>
      <c r="AC149" s="9" t="s">
        <v>33</v>
      </c>
      <c r="AD149" s="9" t="s">
        <v>303</v>
      </c>
      <c r="AE149" s="9" t="s">
        <v>34</v>
      </c>
      <c r="AF149" s="56" t="s">
        <v>34</v>
      </c>
      <c r="AG149" s="135"/>
      <c r="AH149" s="134"/>
      <c r="AI149" s="74"/>
      <c r="AJ149" s="76"/>
      <c r="AK149" s="86"/>
      <c r="AL149" s="84"/>
      <c r="AM149" s="82"/>
      <c r="AN149" s="80"/>
      <c r="AO149" s="78"/>
    </row>
    <row r="150" spans="1:41">
      <c r="A150" s="117"/>
      <c r="B150" s="5" t="s">
        <v>178</v>
      </c>
      <c r="C150" s="9" t="s">
        <v>33</v>
      </c>
      <c r="D150" s="9" t="s">
        <v>33</v>
      </c>
      <c r="E150" s="9" t="s">
        <v>33</v>
      </c>
      <c r="F150" s="9" t="s">
        <v>33</v>
      </c>
      <c r="G150" s="9" t="s">
        <v>33</v>
      </c>
      <c r="H150" s="9" t="s">
        <v>33</v>
      </c>
      <c r="I150" s="9" t="s">
        <v>33</v>
      </c>
      <c r="J150" s="9" t="s">
        <v>33</v>
      </c>
      <c r="K150" s="9" t="s">
        <v>33</v>
      </c>
      <c r="L150" s="9" t="s">
        <v>33</v>
      </c>
      <c r="M150" s="9" t="s">
        <v>33</v>
      </c>
      <c r="N150" s="9" t="s">
        <v>33</v>
      </c>
      <c r="O150" s="9" t="s">
        <v>33</v>
      </c>
      <c r="P150" s="9" t="s">
        <v>33</v>
      </c>
      <c r="Q150" s="9" t="s">
        <v>33</v>
      </c>
      <c r="R150" s="9" t="s">
        <v>33</v>
      </c>
      <c r="S150" s="9" t="s">
        <v>33</v>
      </c>
      <c r="T150" s="9" t="s">
        <v>33</v>
      </c>
      <c r="U150" s="9" t="s">
        <v>33</v>
      </c>
      <c r="V150" s="9" t="s">
        <v>33</v>
      </c>
      <c r="W150" s="9" t="s">
        <v>33</v>
      </c>
      <c r="X150" s="9" t="s">
        <v>33</v>
      </c>
      <c r="Y150" s="9" t="s">
        <v>33</v>
      </c>
      <c r="Z150" s="9" t="s">
        <v>33</v>
      </c>
      <c r="AA150" s="9" t="s">
        <v>33</v>
      </c>
      <c r="AB150" s="9" t="s">
        <v>33</v>
      </c>
      <c r="AC150" s="9" t="s">
        <v>33</v>
      </c>
      <c r="AD150" s="9" t="s">
        <v>34</v>
      </c>
      <c r="AE150" s="9" t="s">
        <v>34</v>
      </c>
      <c r="AF150" s="56" t="s">
        <v>34</v>
      </c>
      <c r="AG150" s="135"/>
      <c r="AH150" s="49"/>
      <c r="AI150" s="74"/>
      <c r="AJ150" s="76"/>
      <c r="AK150" s="86"/>
      <c r="AL150" s="84"/>
      <c r="AM150" s="82"/>
      <c r="AN150" s="80"/>
      <c r="AO150" s="78"/>
    </row>
    <row r="151" spans="1:41" ht="15.75" customHeight="1" thickBot="1">
      <c r="A151" s="119"/>
      <c r="B151" s="27" t="s">
        <v>179</v>
      </c>
      <c r="C151" s="20" t="s">
        <v>33</v>
      </c>
      <c r="D151" s="20" t="s">
        <v>33</v>
      </c>
      <c r="E151" s="20" t="s">
        <v>33</v>
      </c>
      <c r="F151" s="20" t="s">
        <v>33</v>
      </c>
      <c r="G151" s="20" t="s">
        <v>33</v>
      </c>
      <c r="H151" s="20" t="s">
        <v>33</v>
      </c>
      <c r="I151" s="20" t="s">
        <v>33</v>
      </c>
      <c r="J151" s="20" t="s">
        <v>33</v>
      </c>
      <c r="K151" s="20" t="s">
        <v>33</v>
      </c>
      <c r="L151" s="20" t="s">
        <v>33</v>
      </c>
      <c r="M151" s="20" t="s">
        <v>33</v>
      </c>
      <c r="N151" s="20" t="s">
        <v>33</v>
      </c>
      <c r="O151" s="20" t="s">
        <v>33</v>
      </c>
      <c r="P151" s="20" t="s">
        <v>33</v>
      </c>
      <c r="Q151" s="20" t="s">
        <v>33</v>
      </c>
      <c r="R151" s="20" t="s">
        <v>33</v>
      </c>
      <c r="S151" s="20" t="s">
        <v>33</v>
      </c>
      <c r="T151" s="20" t="s">
        <v>33</v>
      </c>
      <c r="U151" s="20" t="s">
        <v>33</v>
      </c>
      <c r="V151" s="20" t="s">
        <v>33</v>
      </c>
      <c r="W151" s="20" t="s">
        <v>33</v>
      </c>
      <c r="X151" s="20" t="s">
        <v>33</v>
      </c>
      <c r="Y151" s="20" t="s">
        <v>33</v>
      </c>
      <c r="Z151" s="20" t="s">
        <v>33</v>
      </c>
      <c r="AA151" s="20" t="s">
        <v>33</v>
      </c>
      <c r="AB151" s="20" t="s">
        <v>33</v>
      </c>
      <c r="AC151" s="20" t="s">
        <v>33</v>
      </c>
      <c r="AD151" s="20" t="s">
        <v>34</v>
      </c>
      <c r="AE151" s="20" t="s">
        <v>34</v>
      </c>
      <c r="AF151" s="57" t="s">
        <v>34</v>
      </c>
      <c r="AG151" s="135"/>
      <c r="AH151" s="49"/>
      <c r="AI151" s="74"/>
      <c r="AJ151" s="76"/>
      <c r="AK151" s="86"/>
      <c r="AL151" s="84"/>
      <c r="AM151" s="82"/>
      <c r="AN151" s="80"/>
      <c r="AO151" s="78"/>
    </row>
    <row r="152" spans="1:41">
      <c r="A152" s="116" t="s">
        <v>180</v>
      </c>
      <c r="B152" s="26" t="s">
        <v>181</v>
      </c>
      <c r="C152" s="18" t="s">
        <v>33</v>
      </c>
      <c r="D152" s="18" t="s">
        <v>33</v>
      </c>
      <c r="E152" s="18" t="s">
        <v>33</v>
      </c>
      <c r="F152" s="18" t="s">
        <v>33</v>
      </c>
      <c r="G152" s="18" t="s">
        <v>33</v>
      </c>
      <c r="H152" s="18" t="s">
        <v>33</v>
      </c>
      <c r="I152" s="18" t="s">
        <v>33</v>
      </c>
      <c r="J152" s="18" t="s">
        <v>33</v>
      </c>
      <c r="K152" s="18" t="s">
        <v>33</v>
      </c>
      <c r="L152" s="18" t="s">
        <v>33</v>
      </c>
      <c r="M152" s="18" t="s">
        <v>33</v>
      </c>
      <c r="N152" s="18" t="s">
        <v>33</v>
      </c>
      <c r="O152" s="18" t="s">
        <v>33</v>
      </c>
      <c r="P152" s="18" t="s">
        <v>303</v>
      </c>
      <c r="Q152" s="18" t="s">
        <v>303</v>
      </c>
      <c r="R152" s="18" t="s">
        <v>303</v>
      </c>
      <c r="S152" s="18" t="s">
        <v>303</v>
      </c>
      <c r="T152" s="18" t="s">
        <v>303</v>
      </c>
      <c r="U152" s="18" t="s">
        <v>303</v>
      </c>
      <c r="V152" s="18" t="s">
        <v>303</v>
      </c>
      <c r="W152" s="18" t="s">
        <v>303</v>
      </c>
      <c r="X152" s="18" t="s">
        <v>303</v>
      </c>
      <c r="Y152" s="18" t="s">
        <v>303</v>
      </c>
      <c r="Z152" s="18" t="s">
        <v>303</v>
      </c>
      <c r="AA152" s="18" t="s">
        <v>303</v>
      </c>
      <c r="AB152" s="18" t="s">
        <v>33</v>
      </c>
      <c r="AC152" s="18" t="s">
        <v>303</v>
      </c>
      <c r="AD152" s="18" t="s">
        <v>34</v>
      </c>
      <c r="AE152" s="18" t="s">
        <v>34</v>
      </c>
      <c r="AF152" s="55" t="s">
        <v>34</v>
      </c>
      <c r="AG152" s="135"/>
      <c r="AH152" s="49"/>
      <c r="AI152" s="74"/>
      <c r="AJ152" s="76"/>
      <c r="AK152" s="86"/>
      <c r="AL152" s="84"/>
      <c r="AM152" s="82"/>
      <c r="AN152" s="80"/>
      <c r="AO152" s="78"/>
    </row>
    <row r="153" spans="1:41">
      <c r="A153" s="117"/>
      <c r="B153" s="5" t="s">
        <v>51</v>
      </c>
      <c r="C153" s="9" t="s">
        <v>33</v>
      </c>
      <c r="D153" s="9" t="s">
        <v>33</v>
      </c>
      <c r="E153" s="9" t="s">
        <v>33</v>
      </c>
      <c r="F153" s="9" t="s">
        <v>33</v>
      </c>
      <c r="G153" s="9" t="s">
        <v>33</v>
      </c>
      <c r="H153" s="9" t="s">
        <v>33</v>
      </c>
      <c r="I153" s="9" t="s">
        <v>33</v>
      </c>
      <c r="J153" s="9" t="s">
        <v>33</v>
      </c>
      <c r="K153" s="9" t="s">
        <v>33</v>
      </c>
      <c r="L153" s="9" t="s">
        <v>33</v>
      </c>
      <c r="M153" s="9" t="s">
        <v>33</v>
      </c>
      <c r="N153" s="9" t="s">
        <v>33</v>
      </c>
      <c r="O153" s="9" t="s">
        <v>33</v>
      </c>
      <c r="P153" s="9" t="s">
        <v>303</v>
      </c>
      <c r="Q153" s="9" t="s">
        <v>303</v>
      </c>
      <c r="R153" s="9" t="s">
        <v>34</v>
      </c>
      <c r="S153" s="9" t="s">
        <v>34</v>
      </c>
      <c r="T153" s="9" t="s">
        <v>34</v>
      </c>
      <c r="U153" s="9" t="s">
        <v>34</v>
      </c>
      <c r="V153" s="9" t="s">
        <v>34</v>
      </c>
      <c r="W153" s="9" t="s">
        <v>34</v>
      </c>
      <c r="X153" s="9" t="s">
        <v>34</v>
      </c>
      <c r="Y153" s="9" t="s">
        <v>34</v>
      </c>
      <c r="Z153" s="9" t="s">
        <v>34</v>
      </c>
      <c r="AA153" s="9" t="s">
        <v>34</v>
      </c>
      <c r="AB153" s="9" t="s">
        <v>303</v>
      </c>
      <c r="AC153" s="9" t="s">
        <v>34</v>
      </c>
      <c r="AD153" s="9" t="s">
        <v>34</v>
      </c>
      <c r="AE153" s="9" t="s">
        <v>34</v>
      </c>
      <c r="AF153" s="56" t="s">
        <v>34</v>
      </c>
      <c r="AG153" s="135"/>
      <c r="AH153" s="49"/>
      <c r="AI153" s="49"/>
      <c r="AJ153" s="76"/>
      <c r="AK153" s="86"/>
      <c r="AL153" s="84"/>
      <c r="AM153" s="82"/>
      <c r="AN153" s="80"/>
      <c r="AO153" s="78"/>
    </row>
    <row r="154" spans="1:41">
      <c r="A154" s="117"/>
      <c r="B154" s="5" t="s">
        <v>182</v>
      </c>
      <c r="C154" s="9" t="s">
        <v>33</v>
      </c>
      <c r="D154" s="9" t="s">
        <v>33</v>
      </c>
      <c r="E154" s="9" t="s">
        <v>33</v>
      </c>
      <c r="F154" s="9" t="s">
        <v>33</v>
      </c>
      <c r="G154" s="9" t="s">
        <v>33</v>
      </c>
      <c r="H154" s="9" t="s">
        <v>33</v>
      </c>
      <c r="I154" s="9" t="s">
        <v>33</v>
      </c>
      <c r="J154" s="9" t="s">
        <v>33</v>
      </c>
      <c r="K154" s="9" t="s">
        <v>33</v>
      </c>
      <c r="L154" s="9" t="s">
        <v>299</v>
      </c>
      <c r="M154" s="9" t="s">
        <v>33</v>
      </c>
      <c r="N154" s="9" t="s">
        <v>33</v>
      </c>
      <c r="O154" s="9" t="s">
        <v>303</v>
      </c>
      <c r="P154" s="9" t="s">
        <v>303</v>
      </c>
      <c r="Q154" s="9" t="s">
        <v>34</v>
      </c>
      <c r="R154" s="9" t="s">
        <v>34</v>
      </c>
      <c r="S154" s="9" t="s">
        <v>34</v>
      </c>
      <c r="T154" s="9" t="s">
        <v>34</v>
      </c>
      <c r="U154" s="9" t="s">
        <v>34</v>
      </c>
      <c r="V154" s="9" t="s">
        <v>34</v>
      </c>
      <c r="W154" s="9" t="s">
        <v>34</v>
      </c>
      <c r="X154" s="9" t="s">
        <v>34</v>
      </c>
      <c r="Y154" s="9" t="s">
        <v>34</v>
      </c>
      <c r="Z154" s="9" t="s">
        <v>34</v>
      </c>
      <c r="AA154" s="9" t="s">
        <v>34</v>
      </c>
      <c r="AB154" s="9" t="s">
        <v>34</v>
      </c>
      <c r="AC154" s="9" t="s">
        <v>34</v>
      </c>
      <c r="AD154" s="9" t="s">
        <v>34</v>
      </c>
      <c r="AE154" s="9" t="s">
        <v>34</v>
      </c>
      <c r="AF154" s="56" t="s">
        <v>34</v>
      </c>
      <c r="AG154" s="135"/>
      <c r="AH154" s="49"/>
      <c r="AI154" s="49"/>
      <c r="AJ154" s="76"/>
      <c r="AK154" s="86"/>
      <c r="AL154" s="84"/>
      <c r="AM154" s="82"/>
      <c r="AN154" s="80"/>
      <c r="AO154" s="78"/>
    </row>
    <row r="155" spans="1:41">
      <c r="A155" s="117"/>
      <c r="B155" s="5" t="s">
        <v>183</v>
      </c>
      <c r="C155" s="9" t="s">
        <v>33</v>
      </c>
      <c r="D155" s="9" t="s">
        <v>33</v>
      </c>
      <c r="E155" s="9" t="s">
        <v>33</v>
      </c>
      <c r="F155" s="9" t="s">
        <v>33</v>
      </c>
      <c r="G155" s="9" t="s">
        <v>33</v>
      </c>
      <c r="H155" s="9" t="s">
        <v>33</v>
      </c>
      <c r="I155" s="9" t="s">
        <v>33</v>
      </c>
      <c r="J155" s="9" t="s">
        <v>33</v>
      </c>
      <c r="K155" s="9" t="s">
        <v>33</v>
      </c>
      <c r="L155" s="9" t="s">
        <v>33</v>
      </c>
      <c r="M155" s="9" t="s">
        <v>303</v>
      </c>
      <c r="N155" s="9" t="s">
        <v>303</v>
      </c>
      <c r="O155" s="9" t="s">
        <v>33</v>
      </c>
      <c r="P155" s="9" t="s">
        <v>303</v>
      </c>
      <c r="Q155" s="9" t="s">
        <v>34</v>
      </c>
      <c r="R155" s="9" t="s">
        <v>34</v>
      </c>
      <c r="S155" s="9" t="s">
        <v>34</v>
      </c>
      <c r="T155" s="9" t="s">
        <v>34</v>
      </c>
      <c r="U155" s="9" t="s">
        <v>34</v>
      </c>
      <c r="V155" s="9" t="s">
        <v>34</v>
      </c>
      <c r="W155" s="9" t="s">
        <v>34</v>
      </c>
      <c r="X155" s="9" t="s">
        <v>34</v>
      </c>
      <c r="Y155" s="9" t="s">
        <v>34</v>
      </c>
      <c r="Z155" s="9" t="s">
        <v>34</v>
      </c>
      <c r="AA155" s="9" t="s">
        <v>34</v>
      </c>
      <c r="AB155" s="9" t="s">
        <v>34</v>
      </c>
      <c r="AC155" s="9" t="s">
        <v>34</v>
      </c>
      <c r="AD155" s="9" t="s">
        <v>34</v>
      </c>
      <c r="AE155" s="9" t="s">
        <v>34</v>
      </c>
      <c r="AF155" s="56" t="s">
        <v>34</v>
      </c>
      <c r="AG155" s="135"/>
      <c r="AH155" s="49"/>
      <c r="AI155" s="49"/>
      <c r="AJ155" s="49"/>
      <c r="AK155" s="86"/>
      <c r="AL155" s="84"/>
      <c r="AM155" s="82"/>
      <c r="AN155" s="80"/>
      <c r="AO155" s="78"/>
    </row>
    <row r="156" spans="1:41">
      <c r="A156" s="117"/>
      <c r="B156" s="5" t="s">
        <v>184</v>
      </c>
      <c r="C156" s="9" t="s">
        <v>33</v>
      </c>
      <c r="D156" s="9" t="s">
        <v>303</v>
      </c>
      <c r="E156" s="9" t="s">
        <v>303</v>
      </c>
      <c r="F156" s="9" t="s">
        <v>303</v>
      </c>
      <c r="G156" s="9" t="s">
        <v>303</v>
      </c>
      <c r="H156" s="9" t="s">
        <v>34</v>
      </c>
      <c r="I156" s="9" t="s">
        <v>34</v>
      </c>
      <c r="J156" s="9" t="s">
        <v>303</v>
      </c>
      <c r="K156" s="9" t="s">
        <v>34</v>
      </c>
      <c r="L156" s="9" t="s">
        <v>34</v>
      </c>
      <c r="M156" s="9" t="s">
        <v>34</v>
      </c>
      <c r="N156" s="9" t="s">
        <v>34</v>
      </c>
      <c r="O156" s="9" t="s">
        <v>34</v>
      </c>
      <c r="P156" s="9" t="s">
        <v>34</v>
      </c>
      <c r="Q156" s="9" t="s">
        <v>34</v>
      </c>
      <c r="R156" s="9" t="s">
        <v>34</v>
      </c>
      <c r="S156" s="9" t="s">
        <v>34</v>
      </c>
      <c r="T156" s="9" t="s">
        <v>34</v>
      </c>
      <c r="U156" s="9" t="s">
        <v>34</v>
      </c>
      <c r="V156" s="9" t="s">
        <v>34</v>
      </c>
      <c r="W156" s="9" t="s">
        <v>34</v>
      </c>
      <c r="X156" s="9" t="s">
        <v>34</v>
      </c>
      <c r="Y156" s="9" t="s">
        <v>34</v>
      </c>
      <c r="Z156" s="9" t="s">
        <v>34</v>
      </c>
      <c r="AA156" s="9" t="s">
        <v>34</v>
      </c>
      <c r="AB156" s="9" t="s">
        <v>34</v>
      </c>
      <c r="AC156" s="9" t="s">
        <v>34</v>
      </c>
      <c r="AD156" s="9" t="s">
        <v>34</v>
      </c>
      <c r="AE156" s="9" t="s">
        <v>34</v>
      </c>
      <c r="AF156" s="56" t="s">
        <v>34</v>
      </c>
      <c r="AG156" s="135"/>
      <c r="AH156" s="49"/>
      <c r="AI156" s="49"/>
      <c r="AJ156" s="49"/>
      <c r="AK156" s="86"/>
      <c r="AL156" s="84"/>
      <c r="AM156" s="82"/>
      <c r="AN156" s="80"/>
      <c r="AO156" s="78"/>
    </row>
    <row r="157" spans="1:41">
      <c r="A157" s="117"/>
      <c r="B157" s="5" t="s">
        <v>185</v>
      </c>
      <c r="C157" s="9" t="s">
        <v>33</v>
      </c>
      <c r="D157" s="9" t="s">
        <v>33</v>
      </c>
      <c r="E157" s="9" t="s">
        <v>33</v>
      </c>
      <c r="F157" s="9" t="s">
        <v>33</v>
      </c>
      <c r="G157" s="9" t="s">
        <v>303</v>
      </c>
      <c r="H157" s="9" t="s">
        <v>33</v>
      </c>
      <c r="I157" s="9" t="s">
        <v>303</v>
      </c>
      <c r="J157" s="9" t="s">
        <v>303</v>
      </c>
      <c r="K157" s="9" t="s">
        <v>303</v>
      </c>
      <c r="L157" s="9" t="s">
        <v>303</v>
      </c>
      <c r="M157" s="9" t="s">
        <v>34</v>
      </c>
      <c r="N157" s="9" t="s">
        <v>34</v>
      </c>
      <c r="O157" s="9" t="s">
        <v>303</v>
      </c>
      <c r="P157" s="9" t="s">
        <v>34</v>
      </c>
      <c r="Q157" s="9" t="s">
        <v>34</v>
      </c>
      <c r="R157" s="9" t="s">
        <v>34</v>
      </c>
      <c r="S157" s="9" t="s">
        <v>34</v>
      </c>
      <c r="T157" s="9" t="s">
        <v>34</v>
      </c>
      <c r="U157" s="9" t="s">
        <v>34</v>
      </c>
      <c r="V157" s="9" t="s">
        <v>34</v>
      </c>
      <c r="W157" s="9" t="s">
        <v>34</v>
      </c>
      <c r="X157" s="9" t="s">
        <v>34</v>
      </c>
      <c r="Y157" s="9" t="s">
        <v>34</v>
      </c>
      <c r="Z157" s="9" t="s">
        <v>34</v>
      </c>
      <c r="AA157" s="9" t="s">
        <v>34</v>
      </c>
      <c r="AB157" s="9" t="s">
        <v>34</v>
      </c>
      <c r="AC157" s="9" t="s">
        <v>34</v>
      </c>
      <c r="AD157" s="9" t="s">
        <v>34</v>
      </c>
      <c r="AE157" s="9" t="s">
        <v>34</v>
      </c>
      <c r="AF157" s="56" t="s">
        <v>34</v>
      </c>
      <c r="AG157" s="135"/>
      <c r="AH157" s="49"/>
      <c r="AI157" s="49"/>
      <c r="AJ157" s="49"/>
      <c r="AK157" s="86"/>
      <c r="AL157" s="84"/>
      <c r="AM157" s="82"/>
      <c r="AN157" s="80"/>
      <c r="AO157" s="78"/>
    </row>
    <row r="158" spans="1:41">
      <c r="A158" s="117"/>
      <c r="B158" s="5" t="s">
        <v>186</v>
      </c>
      <c r="C158" s="9" t="s">
        <v>33</v>
      </c>
      <c r="D158" s="9" t="s">
        <v>33</v>
      </c>
      <c r="E158" s="9" t="s">
        <v>33</v>
      </c>
      <c r="F158" s="9" t="s">
        <v>33</v>
      </c>
      <c r="G158" s="9" t="s">
        <v>303</v>
      </c>
      <c r="H158" s="9" t="s">
        <v>303</v>
      </c>
      <c r="I158" s="9" t="s">
        <v>303</v>
      </c>
      <c r="J158" s="9" t="s">
        <v>303</v>
      </c>
      <c r="K158" s="9" t="s">
        <v>303</v>
      </c>
      <c r="L158" s="9" t="s">
        <v>303</v>
      </c>
      <c r="M158" s="9" t="s">
        <v>34</v>
      </c>
      <c r="N158" s="9" t="s">
        <v>34</v>
      </c>
      <c r="O158" s="9" t="s">
        <v>34</v>
      </c>
      <c r="P158" s="9" t="s">
        <v>34</v>
      </c>
      <c r="Q158" s="9" t="s">
        <v>34</v>
      </c>
      <c r="R158" s="9" t="s">
        <v>34</v>
      </c>
      <c r="S158" s="9" t="s">
        <v>34</v>
      </c>
      <c r="T158" s="9" t="s">
        <v>34</v>
      </c>
      <c r="U158" s="9" t="s">
        <v>34</v>
      </c>
      <c r="V158" s="9" t="s">
        <v>34</v>
      </c>
      <c r="W158" s="9" t="s">
        <v>34</v>
      </c>
      <c r="X158" s="9" t="s">
        <v>34</v>
      </c>
      <c r="Y158" s="9" t="s">
        <v>34</v>
      </c>
      <c r="Z158" s="9" t="s">
        <v>34</v>
      </c>
      <c r="AA158" s="9" t="s">
        <v>34</v>
      </c>
      <c r="AB158" s="9" t="s">
        <v>34</v>
      </c>
      <c r="AC158" s="9" t="s">
        <v>34</v>
      </c>
      <c r="AD158" s="9" t="s">
        <v>34</v>
      </c>
      <c r="AE158" s="9" t="s">
        <v>34</v>
      </c>
      <c r="AF158" s="56" t="s">
        <v>34</v>
      </c>
      <c r="AG158" s="135"/>
      <c r="AH158" s="49"/>
      <c r="AI158" s="49"/>
      <c r="AJ158" s="49"/>
      <c r="AK158" s="49"/>
      <c r="AL158" s="84"/>
      <c r="AM158" s="82"/>
      <c r="AN158" s="80"/>
      <c r="AO158" s="78"/>
    </row>
    <row r="159" spans="1:41">
      <c r="A159" s="117"/>
      <c r="B159" s="5" t="s">
        <v>187</v>
      </c>
      <c r="C159" s="9" t="s">
        <v>33</v>
      </c>
      <c r="D159" s="9" t="s">
        <v>33</v>
      </c>
      <c r="E159" s="9" t="s">
        <v>33</v>
      </c>
      <c r="F159" s="9" t="s">
        <v>33</v>
      </c>
      <c r="G159" s="9" t="s">
        <v>34</v>
      </c>
      <c r="H159" s="9" t="s">
        <v>34</v>
      </c>
      <c r="I159" s="9" t="s">
        <v>34</v>
      </c>
      <c r="J159" s="9" t="s">
        <v>34</v>
      </c>
      <c r="K159" s="9" t="s">
        <v>34</v>
      </c>
      <c r="L159" s="9" t="s">
        <v>34</v>
      </c>
      <c r="M159" s="9" t="s">
        <v>34</v>
      </c>
      <c r="N159" s="9" t="s">
        <v>34</v>
      </c>
      <c r="O159" s="9" t="s">
        <v>34</v>
      </c>
      <c r="P159" s="9" t="s">
        <v>34</v>
      </c>
      <c r="Q159" s="9" t="s">
        <v>34</v>
      </c>
      <c r="R159" s="9" t="s">
        <v>34</v>
      </c>
      <c r="S159" s="9" t="s">
        <v>34</v>
      </c>
      <c r="T159" s="9" t="s">
        <v>34</v>
      </c>
      <c r="U159" s="9" t="s">
        <v>34</v>
      </c>
      <c r="V159" s="9" t="s">
        <v>34</v>
      </c>
      <c r="W159" s="9" t="s">
        <v>34</v>
      </c>
      <c r="X159" s="9" t="s">
        <v>34</v>
      </c>
      <c r="Y159" s="9" t="s">
        <v>34</v>
      </c>
      <c r="Z159" s="9" t="s">
        <v>34</v>
      </c>
      <c r="AA159" s="9" t="s">
        <v>34</v>
      </c>
      <c r="AB159" s="9" t="s">
        <v>34</v>
      </c>
      <c r="AC159" s="9" t="s">
        <v>34</v>
      </c>
      <c r="AD159" s="9" t="s">
        <v>34</v>
      </c>
      <c r="AE159" s="9" t="s">
        <v>34</v>
      </c>
      <c r="AF159" s="56" t="s">
        <v>34</v>
      </c>
      <c r="AG159" s="135"/>
      <c r="AH159" s="50"/>
      <c r="AI159" s="49"/>
      <c r="AJ159" s="49"/>
      <c r="AK159" s="49"/>
      <c r="AL159" s="49"/>
      <c r="AM159" s="82"/>
      <c r="AN159" s="80"/>
      <c r="AO159" s="78"/>
    </row>
    <row r="160" spans="1:41">
      <c r="A160" s="117"/>
      <c r="B160" s="5" t="s">
        <v>188</v>
      </c>
      <c r="C160" s="9" t="s">
        <v>33</v>
      </c>
      <c r="D160" s="9" t="s">
        <v>33</v>
      </c>
      <c r="E160" s="9" t="s">
        <v>33</v>
      </c>
      <c r="F160" s="9" t="s">
        <v>33</v>
      </c>
      <c r="G160" s="9" t="s">
        <v>34</v>
      </c>
      <c r="H160" s="9" t="s">
        <v>303</v>
      </c>
      <c r="I160" s="9" t="s">
        <v>34</v>
      </c>
      <c r="J160" s="9" t="s">
        <v>34</v>
      </c>
      <c r="K160" s="9" t="s">
        <v>34</v>
      </c>
      <c r="L160" s="9" t="s">
        <v>34</v>
      </c>
      <c r="M160" s="9" t="s">
        <v>34</v>
      </c>
      <c r="N160" s="9" t="s">
        <v>34</v>
      </c>
      <c r="O160" s="9" t="s">
        <v>34</v>
      </c>
      <c r="P160" s="9" t="s">
        <v>34</v>
      </c>
      <c r="Q160" s="9" t="s">
        <v>34</v>
      </c>
      <c r="R160" s="9" t="s">
        <v>34</v>
      </c>
      <c r="S160" s="9" t="s">
        <v>34</v>
      </c>
      <c r="T160" s="9" t="s">
        <v>34</v>
      </c>
      <c r="U160" s="9" t="s">
        <v>34</v>
      </c>
      <c r="V160" s="9" t="s">
        <v>34</v>
      </c>
      <c r="W160" s="9" t="s">
        <v>34</v>
      </c>
      <c r="X160" s="9" t="s">
        <v>34</v>
      </c>
      <c r="Y160" s="9" t="s">
        <v>34</v>
      </c>
      <c r="Z160" s="9" t="s">
        <v>34</v>
      </c>
      <c r="AA160" s="9" t="s">
        <v>34</v>
      </c>
      <c r="AB160" s="9" t="s">
        <v>34</v>
      </c>
      <c r="AC160" s="9" t="s">
        <v>34</v>
      </c>
      <c r="AD160" s="9" t="s">
        <v>34</v>
      </c>
      <c r="AE160" s="9" t="s">
        <v>34</v>
      </c>
      <c r="AF160" s="56" t="s">
        <v>34</v>
      </c>
      <c r="AG160" s="135"/>
      <c r="AM160" s="82"/>
      <c r="AN160" s="80"/>
      <c r="AO160" s="78"/>
    </row>
    <row r="161" spans="1:41">
      <c r="A161" s="117"/>
      <c r="B161" s="5" t="s">
        <v>189</v>
      </c>
      <c r="C161" s="9" t="s">
        <v>33</v>
      </c>
      <c r="D161" s="9" t="s">
        <v>33</v>
      </c>
      <c r="E161" s="9" t="s">
        <v>33</v>
      </c>
      <c r="F161" s="9" t="s">
        <v>33</v>
      </c>
      <c r="G161" s="9" t="s">
        <v>34</v>
      </c>
      <c r="H161" s="9" t="s">
        <v>34</v>
      </c>
      <c r="I161" s="9" t="s">
        <v>34</v>
      </c>
      <c r="J161" s="9" t="s">
        <v>34</v>
      </c>
      <c r="K161" s="9" t="s">
        <v>34</v>
      </c>
      <c r="L161" s="9" t="s">
        <v>34</v>
      </c>
      <c r="M161" s="9" t="s">
        <v>34</v>
      </c>
      <c r="N161" s="9" t="s">
        <v>34</v>
      </c>
      <c r="O161" s="9" t="s">
        <v>34</v>
      </c>
      <c r="P161" s="9" t="s">
        <v>34</v>
      </c>
      <c r="Q161" s="9" t="s">
        <v>34</v>
      </c>
      <c r="R161" s="9" t="s">
        <v>34</v>
      </c>
      <c r="S161" s="9" t="s">
        <v>34</v>
      </c>
      <c r="T161" s="9" t="s">
        <v>34</v>
      </c>
      <c r="U161" s="9" t="s">
        <v>34</v>
      </c>
      <c r="V161" s="9" t="s">
        <v>34</v>
      </c>
      <c r="W161" s="9" t="s">
        <v>34</v>
      </c>
      <c r="X161" s="9" t="s">
        <v>34</v>
      </c>
      <c r="Y161" s="9" t="s">
        <v>34</v>
      </c>
      <c r="Z161" s="9" t="s">
        <v>34</v>
      </c>
      <c r="AA161" s="9" t="s">
        <v>34</v>
      </c>
      <c r="AB161" s="9" t="s">
        <v>34</v>
      </c>
      <c r="AC161" s="9" t="s">
        <v>34</v>
      </c>
      <c r="AD161" s="9" t="s">
        <v>34</v>
      </c>
      <c r="AE161" s="9" t="s">
        <v>34</v>
      </c>
      <c r="AF161" s="56" t="s">
        <v>34</v>
      </c>
      <c r="AG161" s="135"/>
      <c r="AM161" s="82"/>
      <c r="AN161" s="80"/>
      <c r="AO161" s="78"/>
    </row>
    <row r="162" spans="1:41">
      <c r="A162" s="117"/>
      <c r="B162" s="5" t="s">
        <v>190</v>
      </c>
      <c r="C162" s="9" t="s">
        <v>33</v>
      </c>
      <c r="D162" s="9" t="s">
        <v>33</v>
      </c>
      <c r="E162" s="9" t="s">
        <v>33</v>
      </c>
      <c r="F162" s="9" t="s">
        <v>33</v>
      </c>
      <c r="G162" s="9" t="s">
        <v>34</v>
      </c>
      <c r="H162" s="9" t="s">
        <v>34</v>
      </c>
      <c r="I162" s="9" t="s">
        <v>34</v>
      </c>
      <c r="J162" s="9" t="s">
        <v>34</v>
      </c>
      <c r="K162" s="9" t="s">
        <v>34</v>
      </c>
      <c r="L162" s="9" t="s">
        <v>34</v>
      </c>
      <c r="M162" s="9" t="s">
        <v>34</v>
      </c>
      <c r="N162" s="9" t="s">
        <v>34</v>
      </c>
      <c r="O162" s="9" t="s">
        <v>34</v>
      </c>
      <c r="P162" s="9" t="s">
        <v>34</v>
      </c>
      <c r="Q162" s="9" t="s">
        <v>34</v>
      </c>
      <c r="R162" s="9" t="s">
        <v>34</v>
      </c>
      <c r="S162" s="9" t="s">
        <v>34</v>
      </c>
      <c r="T162" s="9" t="s">
        <v>34</v>
      </c>
      <c r="U162" s="9" t="s">
        <v>34</v>
      </c>
      <c r="V162" s="9" t="s">
        <v>34</v>
      </c>
      <c r="W162" s="9" t="s">
        <v>34</v>
      </c>
      <c r="X162" s="9" t="s">
        <v>34</v>
      </c>
      <c r="Y162" s="9" t="s">
        <v>34</v>
      </c>
      <c r="Z162" s="9" t="s">
        <v>34</v>
      </c>
      <c r="AA162" s="9" t="s">
        <v>34</v>
      </c>
      <c r="AB162" s="9" t="s">
        <v>34</v>
      </c>
      <c r="AC162" s="9" t="s">
        <v>34</v>
      </c>
      <c r="AD162" s="9" t="s">
        <v>34</v>
      </c>
      <c r="AE162" s="9" t="s">
        <v>34</v>
      </c>
      <c r="AF162" s="56" t="s">
        <v>34</v>
      </c>
      <c r="AG162" s="135"/>
      <c r="AM162" s="82"/>
      <c r="AN162" s="80"/>
      <c r="AO162" s="78"/>
    </row>
    <row r="163" spans="1:41">
      <c r="A163" s="117"/>
      <c r="B163" s="5" t="s">
        <v>191</v>
      </c>
      <c r="C163" s="9" t="s">
        <v>33</v>
      </c>
      <c r="D163" s="9" t="s">
        <v>34</v>
      </c>
      <c r="E163" s="9" t="s">
        <v>34</v>
      </c>
      <c r="F163" s="9" t="s">
        <v>34</v>
      </c>
      <c r="G163" s="9" t="s">
        <v>34</v>
      </c>
      <c r="H163" s="9" t="s">
        <v>34</v>
      </c>
      <c r="I163" s="9" t="s">
        <v>34</v>
      </c>
      <c r="J163" s="9" t="s">
        <v>34</v>
      </c>
      <c r="K163" s="9" t="s">
        <v>34</v>
      </c>
      <c r="L163" s="9" t="s">
        <v>34</v>
      </c>
      <c r="M163" s="9" t="s">
        <v>34</v>
      </c>
      <c r="N163" s="9" t="s">
        <v>34</v>
      </c>
      <c r="O163" s="9" t="s">
        <v>34</v>
      </c>
      <c r="P163" s="9" t="s">
        <v>34</v>
      </c>
      <c r="Q163" s="9" t="s">
        <v>34</v>
      </c>
      <c r="R163" s="9" t="s">
        <v>34</v>
      </c>
      <c r="S163" s="9" t="s">
        <v>34</v>
      </c>
      <c r="T163" s="9" t="s">
        <v>34</v>
      </c>
      <c r="U163" s="9" t="s">
        <v>34</v>
      </c>
      <c r="V163" s="9" t="s">
        <v>34</v>
      </c>
      <c r="W163" s="9" t="s">
        <v>34</v>
      </c>
      <c r="X163" s="9" t="s">
        <v>34</v>
      </c>
      <c r="Y163" s="9" t="s">
        <v>34</v>
      </c>
      <c r="Z163" s="9" t="s">
        <v>34</v>
      </c>
      <c r="AA163" s="9" t="s">
        <v>34</v>
      </c>
      <c r="AB163" s="9" t="s">
        <v>34</v>
      </c>
      <c r="AC163" s="9" t="s">
        <v>34</v>
      </c>
      <c r="AD163" s="9" t="s">
        <v>34</v>
      </c>
      <c r="AE163" s="9" t="s">
        <v>34</v>
      </c>
      <c r="AF163" s="56" t="s">
        <v>34</v>
      </c>
      <c r="AG163" s="135"/>
      <c r="AM163" s="82"/>
      <c r="AN163" s="80"/>
      <c r="AO163" s="78"/>
    </row>
    <row r="164" spans="1:41">
      <c r="A164" s="117"/>
      <c r="B164" s="5" t="s">
        <v>192</v>
      </c>
      <c r="C164" s="9" t="s">
        <v>299</v>
      </c>
      <c r="D164" s="9" t="s">
        <v>299</v>
      </c>
      <c r="E164" s="9" t="s">
        <v>34</v>
      </c>
      <c r="F164" s="9" t="s">
        <v>34</v>
      </c>
      <c r="G164" s="9" t="s">
        <v>34</v>
      </c>
      <c r="H164" s="9" t="s">
        <v>34</v>
      </c>
      <c r="I164" s="9" t="s">
        <v>34</v>
      </c>
      <c r="J164" s="9" t="s">
        <v>34</v>
      </c>
      <c r="K164" s="9" t="s">
        <v>34</v>
      </c>
      <c r="L164" s="9" t="s">
        <v>34</v>
      </c>
      <c r="M164" s="9" t="s">
        <v>34</v>
      </c>
      <c r="N164" s="9" t="s">
        <v>34</v>
      </c>
      <c r="O164" s="9" t="s">
        <v>34</v>
      </c>
      <c r="P164" s="9" t="s">
        <v>34</v>
      </c>
      <c r="Q164" s="9" t="s">
        <v>34</v>
      </c>
      <c r="R164" s="9" t="s">
        <v>34</v>
      </c>
      <c r="S164" s="9" t="s">
        <v>34</v>
      </c>
      <c r="T164" s="9" t="s">
        <v>34</v>
      </c>
      <c r="U164" s="9" t="s">
        <v>34</v>
      </c>
      <c r="V164" s="9" t="s">
        <v>34</v>
      </c>
      <c r="W164" s="9" t="s">
        <v>34</v>
      </c>
      <c r="X164" s="9" t="s">
        <v>34</v>
      </c>
      <c r="Y164" s="9" t="s">
        <v>34</v>
      </c>
      <c r="Z164" s="9" t="s">
        <v>34</v>
      </c>
      <c r="AA164" s="9" t="s">
        <v>34</v>
      </c>
      <c r="AB164" s="9" t="s">
        <v>34</v>
      </c>
      <c r="AC164" s="9" t="s">
        <v>34</v>
      </c>
      <c r="AD164" s="9" t="s">
        <v>34</v>
      </c>
      <c r="AE164" s="9" t="s">
        <v>34</v>
      </c>
      <c r="AF164" s="56" t="s">
        <v>34</v>
      </c>
      <c r="AG164" s="135"/>
      <c r="AN164" s="80"/>
      <c r="AO164" s="78"/>
    </row>
    <row r="165" spans="1:41">
      <c r="A165" s="117"/>
      <c r="B165" s="5" t="s">
        <v>193</v>
      </c>
      <c r="C165" s="9" t="s">
        <v>33</v>
      </c>
      <c r="D165" s="9" t="s">
        <v>34</v>
      </c>
      <c r="E165" s="9" t="s">
        <v>34</v>
      </c>
      <c r="F165" s="9" t="s">
        <v>34</v>
      </c>
      <c r="G165" s="9" t="s">
        <v>34</v>
      </c>
      <c r="H165" s="9" t="s">
        <v>34</v>
      </c>
      <c r="I165" s="9" t="s">
        <v>34</v>
      </c>
      <c r="J165" s="9" t="s">
        <v>34</v>
      </c>
      <c r="K165" s="9" t="s">
        <v>34</v>
      </c>
      <c r="L165" s="9" t="s">
        <v>34</v>
      </c>
      <c r="M165" s="9" t="s">
        <v>34</v>
      </c>
      <c r="N165" s="9" t="s">
        <v>34</v>
      </c>
      <c r="O165" s="9" t="s">
        <v>34</v>
      </c>
      <c r="P165" s="9" t="s">
        <v>34</v>
      </c>
      <c r="Q165" s="9" t="s">
        <v>34</v>
      </c>
      <c r="R165" s="9" t="s">
        <v>34</v>
      </c>
      <c r="S165" s="9" t="s">
        <v>34</v>
      </c>
      <c r="T165" s="9" t="s">
        <v>34</v>
      </c>
      <c r="U165" s="9" t="s">
        <v>34</v>
      </c>
      <c r="V165" s="9" t="s">
        <v>34</v>
      </c>
      <c r="W165" s="9" t="s">
        <v>34</v>
      </c>
      <c r="X165" s="9" t="s">
        <v>34</v>
      </c>
      <c r="Y165" s="9" t="s">
        <v>34</v>
      </c>
      <c r="Z165" s="9" t="s">
        <v>34</v>
      </c>
      <c r="AA165" s="9" t="s">
        <v>34</v>
      </c>
      <c r="AB165" s="9" t="s">
        <v>34</v>
      </c>
      <c r="AC165" s="9" t="s">
        <v>34</v>
      </c>
      <c r="AD165" s="9" t="s">
        <v>34</v>
      </c>
      <c r="AE165" s="9" t="s">
        <v>34</v>
      </c>
      <c r="AF165" s="56" t="s">
        <v>34</v>
      </c>
      <c r="AG165" s="135"/>
      <c r="AN165" s="80"/>
      <c r="AO165" s="78"/>
    </row>
    <row r="166" spans="1:41">
      <c r="A166" s="117"/>
      <c r="B166" s="5" t="s">
        <v>194</v>
      </c>
      <c r="C166" s="9" t="s">
        <v>33</v>
      </c>
      <c r="D166" s="9" t="s">
        <v>34</v>
      </c>
      <c r="E166" s="9" t="s">
        <v>34</v>
      </c>
      <c r="F166" s="9" t="s">
        <v>34</v>
      </c>
      <c r="G166" s="9" t="s">
        <v>34</v>
      </c>
      <c r="H166" s="9" t="s">
        <v>34</v>
      </c>
      <c r="I166" s="9" t="s">
        <v>34</v>
      </c>
      <c r="J166" s="9" t="s">
        <v>34</v>
      </c>
      <c r="K166" s="9" t="s">
        <v>34</v>
      </c>
      <c r="L166" s="9" t="s">
        <v>34</v>
      </c>
      <c r="M166" s="9" t="s">
        <v>34</v>
      </c>
      <c r="N166" s="9" t="s">
        <v>34</v>
      </c>
      <c r="O166" s="9" t="s">
        <v>34</v>
      </c>
      <c r="P166" s="9" t="s">
        <v>34</v>
      </c>
      <c r="Q166" s="9" t="s">
        <v>34</v>
      </c>
      <c r="R166" s="9" t="s">
        <v>34</v>
      </c>
      <c r="S166" s="9" t="s">
        <v>34</v>
      </c>
      <c r="T166" s="9" t="s">
        <v>34</v>
      </c>
      <c r="U166" s="9" t="s">
        <v>34</v>
      </c>
      <c r="V166" s="9" t="s">
        <v>34</v>
      </c>
      <c r="W166" s="9" t="s">
        <v>34</v>
      </c>
      <c r="X166" s="9" t="s">
        <v>34</v>
      </c>
      <c r="Y166" s="9" t="s">
        <v>34</v>
      </c>
      <c r="Z166" s="9" t="s">
        <v>34</v>
      </c>
      <c r="AA166" s="9" t="s">
        <v>34</v>
      </c>
      <c r="AB166" s="9" t="s">
        <v>34</v>
      </c>
      <c r="AC166" s="9" t="s">
        <v>34</v>
      </c>
      <c r="AD166" s="9" t="s">
        <v>34</v>
      </c>
      <c r="AE166" s="9" t="s">
        <v>34</v>
      </c>
      <c r="AF166" s="56" t="s">
        <v>34</v>
      </c>
      <c r="AG166" s="135"/>
      <c r="AO166" s="78"/>
    </row>
    <row r="167" spans="1:41">
      <c r="A167" s="117"/>
      <c r="B167" s="5" t="s">
        <v>195</v>
      </c>
      <c r="C167" s="9" t="s">
        <v>34</v>
      </c>
      <c r="D167" s="9" t="s">
        <v>34</v>
      </c>
      <c r="E167" s="9" t="s">
        <v>34</v>
      </c>
      <c r="F167" s="9" t="s">
        <v>34</v>
      </c>
      <c r="G167" s="9" t="s">
        <v>34</v>
      </c>
      <c r="H167" s="9" t="s">
        <v>34</v>
      </c>
      <c r="I167" s="9" t="s">
        <v>34</v>
      </c>
      <c r="J167" s="9" t="s">
        <v>34</v>
      </c>
      <c r="K167" s="9" t="s">
        <v>34</v>
      </c>
      <c r="L167" s="9" t="s">
        <v>34</v>
      </c>
      <c r="M167" s="9" t="s">
        <v>34</v>
      </c>
      <c r="N167" s="9" t="s">
        <v>34</v>
      </c>
      <c r="O167" s="9" t="s">
        <v>34</v>
      </c>
      <c r="P167" s="9" t="s">
        <v>34</v>
      </c>
      <c r="Q167" s="9" t="s">
        <v>34</v>
      </c>
      <c r="R167" s="9" t="s">
        <v>34</v>
      </c>
      <c r="S167" s="9" t="s">
        <v>34</v>
      </c>
      <c r="T167" s="9" t="s">
        <v>34</v>
      </c>
      <c r="U167" s="9" t="s">
        <v>34</v>
      </c>
      <c r="V167" s="9" t="s">
        <v>34</v>
      </c>
      <c r="W167" s="9" t="s">
        <v>34</v>
      </c>
      <c r="X167" s="9" t="s">
        <v>34</v>
      </c>
      <c r="Y167" s="9" t="s">
        <v>34</v>
      </c>
      <c r="Z167" s="9" t="s">
        <v>34</v>
      </c>
      <c r="AA167" s="9" t="s">
        <v>34</v>
      </c>
      <c r="AB167" s="9" t="s">
        <v>34</v>
      </c>
      <c r="AC167" s="9" t="s">
        <v>34</v>
      </c>
      <c r="AD167" s="9" t="s">
        <v>34</v>
      </c>
      <c r="AE167" s="9" t="s">
        <v>34</v>
      </c>
      <c r="AF167" s="56" t="s">
        <v>34</v>
      </c>
      <c r="AG167" s="135"/>
      <c r="AO167" s="78"/>
    </row>
    <row r="168" spans="1:41">
      <c r="A168" s="117"/>
      <c r="B168" s="5" t="s">
        <v>196</v>
      </c>
      <c r="C168" s="9" t="s">
        <v>34</v>
      </c>
      <c r="D168" s="9" t="s">
        <v>34</v>
      </c>
      <c r="E168" s="9" t="s">
        <v>34</v>
      </c>
      <c r="F168" s="9" t="s">
        <v>34</v>
      </c>
      <c r="G168" s="9" t="s">
        <v>34</v>
      </c>
      <c r="H168" s="9" t="s">
        <v>34</v>
      </c>
      <c r="I168" s="9" t="s">
        <v>34</v>
      </c>
      <c r="J168" s="9" t="s">
        <v>34</v>
      </c>
      <c r="K168" s="9" t="s">
        <v>34</v>
      </c>
      <c r="L168" s="9" t="s">
        <v>34</v>
      </c>
      <c r="M168" s="9" t="s">
        <v>34</v>
      </c>
      <c r="N168" s="9" t="s">
        <v>34</v>
      </c>
      <c r="O168" s="9" t="s">
        <v>34</v>
      </c>
      <c r="P168" s="9" t="s">
        <v>34</v>
      </c>
      <c r="Q168" s="9" t="s">
        <v>34</v>
      </c>
      <c r="R168" s="9" t="s">
        <v>34</v>
      </c>
      <c r="S168" s="9" t="s">
        <v>34</v>
      </c>
      <c r="T168" s="9" t="s">
        <v>34</v>
      </c>
      <c r="U168" s="9" t="s">
        <v>34</v>
      </c>
      <c r="V168" s="9" t="s">
        <v>34</v>
      </c>
      <c r="W168" s="9" t="s">
        <v>34</v>
      </c>
      <c r="X168" s="9" t="s">
        <v>34</v>
      </c>
      <c r="Y168" s="9" t="s">
        <v>34</v>
      </c>
      <c r="Z168" s="9" t="s">
        <v>34</v>
      </c>
      <c r="AA168" s="9" t="s">
        <v>34</v>
      </c>
      <c r="AB168" s="9" t="s">
        <v>34</v>
      </c>
      <c r="AC168" s="9" t="s">
        <v>34</v>
      </c>
      <c r="AD168" s="9" t="s">
        <v>34</v>
      </c>
      <c r="AE168" s="9" t="s">
        <v>34</v>
      </c>
      <c r="AF168" s="56" t="s">
        <v>34</v>
      </c>
      <c r="AG168" s="135"/>
      <c r="AO168" s="78"/>
    </row>
    <row r="169" spans="1:41">
      <c r="A169" s="117"/>
      <c r="B169" s="5" t="s">
        <v>197</v>
      </c>
      <c r="C169" s="9" t="s">
        <v>34</v>
      </c>
      <c r="D169" s="9" t="s">
        <v>34</v>
      </c>
      <c r="E169" s="9" t="s">
        <v>34</v>
      </c>
      <c r="F169" s="9" t="s">
        <v>34</v>
      </c>
      <c r="G169" s="9" t="s">
        <v>34</v>
      </c>
      <c r="H169" s="9" t="s">
        <v>34</v>
      </c>
      <c r="I169" s="9" t="s">
        <v>34</v>
      </c>
      <c r="J169" s="9" t="s">
        <v>34</v>
      </c>
      <c r="K169" s="9" t="s">
        <v>34</v>
      </c>
      <c r="L169" s="9" t="s">
        <v>34</v>
      </c>
      <c r="M169" s="9" t="s">
        <v>34</v>
      </c>
      <c r="N169" s="9" t="s">
        <v>34</v>
      </c>
      <c r="O169" s="9" t="s">
        <v>34</v>
      </c>
      <c r="P169" s="9" t="s">
        <v>34</v>
      </c>
      <c r="Q169" s="9" t="s">
        <v>34</v>
      </c>
      <c r="R169" s="9" t="s">
        <v>34</v>
      </c>
      <c r="S169" s="9" t="s">
        <v>34</v>
      </c>
      <c r="T169" s="9" t="s">
        <v>34</v>
      </c>
      <c r="U169" s="9" t="s">
        <v>34</v>
      </c>
      <c r="V169" s="9" t="s">
        <v>34</v>
      </c>
      <c r="W169" s="9" t="s">
        <v>34</v>
      </c>
      <c r="X169" s="9" t="s">
        <v>34</v>
      </c>
      <c r="Y169" s="9" t="s">
        <v>34</v>
      </c>
      <c r="Z169" s="9" t="s">
        <v>34</v>
      </c>
      <c r="AA169" s="9" t="s">
        <v>34</v>
      </c>
      <c r="AB169" s="9" t="s">
        <v>34</v>
      </c>
      <c r="AC169" s="9" t="s">
        <v>34</v>
      </c>
      <c r="AD169" s="9" t="s">
        <v>34</v>
      </c>
      <c r="AE169" s="9" t="s">
        <v>34</v>
      </c>
      <c r="AF169" s="56" t="s">
        <v>34</v>
      </c>
      <c r="AG169" s="135"/>
      <c r="AO169" s="78"/>
    </row>
    <row r="170" spans="1:41">
      <c r="A170" s="117"/>
      <c r="B170" s="5" t="s">
        <v>198</v>
      </c>
      <c r="C170" s="9" t="s">
        <v>34</v>
      </c>
      <c r="D170" s="9" t="s">
        <v>34</v>
      </c>
      <c r="E170" s="9" t="s">
        <v>34</v>
      </c>
      <c r="F170" s="9" t="s">
        <v>34</v>
      </c>
      <c r="G170" s="9" t="s">
        <v>34</v>
      </c>
      <c r="H170" s="9" t="s">
        <v>34</v>
      </c>
      <c r="I170" s="9" t="s">
        <v>34</v>
      </c>
      <c r="J170" s="9" t="s">
        <v>34</v>
      </c>
      <c r="K170" s="9" t="s">
        <v>34</v>
      </c>
      <c r="L170" s="9" t="s">
        <v>34</v>
      </c>
      <c r="M170" s="9" t="s">
        <v>34</v>
      </c>
      <c r="N170" s="9" t="s">
        <v>34</v>
      </c>
      <c r="O170" s="9" t="s">
        <v>34</v>
      </c>
      <c r="P170" s="9" t="s">
        <v>34</v>
      </c>
      <c r="Q170" s="9" t="s">
        <v>34</v>
      </c>
      <c r="R170" s="9" t="s">
        <v>34</v>
      </c>
      <c r="S170" s="9" t="s">
        <v>34</v>
      </c>
      <c r="T170" s="9" t="s">
        <v>34</v>
      </c>
      <c r="U170" s="9" t="s">
        <v>34</v>
      </c>
      <c r="V170" s="9" t="s">
        <v>34</v>
      </c>
      <c r="W170" s="9" t="s">
        <v>34</v>
      </c>
      <c r="X170" s="9" t="s">
        <v>34</v>
      </c>
      <c r="Y170" s="9" t="s">
        <v>34</v>
      </c>
      <c r="Z170" s="9" t="s">
        <v>34</v>
      </c>
      <c r="AA170" s="9" t="s">
        <v>34</v>
      </c>
      <c r="AB170" s="9" t="s">
        <v>34</v>
      </c>
      <c r="AC170" s="9" t="s">
        <v>34</v>
      </c>
      <c r="AD170" s="9" t="s">
        <v>34</v>
      </c>
      <c r="AE170" s="9" t="s">
        <v>34</v>
      </c>
      <c r="AF170" s="56" t="s">
        <v>34</v>
      </c>
      <c r="AG170" s="135"/>
      <c r="AO170" s="78"/>
    </row>
    <row r="171" spans="1:41">
      <c r="A171" s="117"/>
      <c r="B171" s="5" t="s">
        <v>199</v>
      </c>
      <c r="C171" s="9" t="s">
        <v>303</v>
      </c>
      <c r="D171" s="9" t="s">
        <v>34</v>
      </c>
      <c r="E171" s="9" t="s">
        <v>34</v>
      </c>
      <c r="F171" s="9" t="s">
        <v>34</v>
      </c>
      <c r="G171" s="9" t="s">
        <v>34</v>
      </c>
      <c r="H171" s="9" t="s">
        <v>34</v>
      </c>
      <c r="I171" s="9" t="s">
        <v>34</v>
      </c>
      <c r="J171" s="9" t="s">
        <v>34</v>
      </c>
      <c r="K171" s="9" t="s">
        <v>34</v>
      </c>
      <c r="L171" s="9" t="s">
        <v>34</v>
      </c>
      <c r="M171" s="9" t="s">
        <v>34</v>
      </c>
      <c r="N171" s="9" t="s">
        <v>34</v>
      </c>
      <c r="O171" s="9" t="s">
        <v>34</v>
      </c>
      <c r="P171" s="9" t="s">
        <v>34</v>
      </c>
      <c r="Q171" s="9" t="s">
        <v>34</v>
      </c>
      <c r="R171" s="9" t="s">
        <v>34</v>
      </c>
      <c r="S171" s="9" t="s">
        <v>34</v>
      </c>
      <c r="T171" s="9" t="s">
        <v>34</v>
      </c>
      <c r="U171" s="9" t="s">
        <v>34</v>
      </c>
      <c r="V171" s="9" t="s">
        <v>34</v>
      </c>
      <c r="W171" s="9" t="s">
        <v>34</v>
      </c>
      <c r="X171" s="9" t="s">
        <v>34</v>
      </c>
      <c r="Y171" s="9" t="s">
        <v>34</v>
      </c>
      <c r="Z171" s="9" t="s">
        <v>34</v>
      </c>
      <c r="AA171" s="9" t="s">
        <v>34</v>
      </c>
      <c r="AB171" s="9" t="s">
        <v>34</v>
      </c>
      <c r="AC171" s="9" t="s">
        <v>34</v>
      </c>
      <c r="AD171" s="9" t="s">
        <v>34</v>
      </c>
      <c r="AE171" s="9" t="s">
        <v>34</v>
      </c>
      <c r="AF171" s="56" t="s">
        <v>34</v>
      </c>
      <c r="AG171" s="135"/>
      <c r="AO171" s="78"/>
    </row>
    <row r="172" spans="1:41">
      <c r="A172" s="117"/>
      <c r="B172" s="5" t="s">
        <v>200</v>
      </c>
      <c r="C172" s="9" t="s">
        <v>34</v>
      </c>
      <c r="D172" s="9" t="s">
        <v>34</v>
      </c>
      <c r="E172" s="9" t="s">
        <v>34</v>
      </c>
      <c r="F172" s="9" t="s">
        <v>34</v>
      </c>
      <c r="G172" s="9" t="s">
        <v>34</v>
      </c>
      <c r="H172" s="9" t="s">
        <v>34</v>
      </c>
      <c r="I172" s="9" t="s">
        <v>34</v>
      </c>
      <c r="J172" s="9" t="s">
        <v>34</v>
      </c>
      <c r="K172" s="9" t="s">
        <v>34</v>
      </c>
      <c r="L172" s="9" t="s">
        <v>34</v>
      </c>
      <c r="M172" s="9" t="s">
        <v>34</v>
      </c>
      <c r="N172" s="9" t="s">
        <v>34</v>
      </c>
      <c r="O172" s="9" t="s">
        <v>34</v>
      </c>
      <c r="P172" s="9" t="s">
        <v>34</v>
      </c>
      <c r="Q172" s="9" t="s">
        <v>34</v>
      </c>
      <c r="R172" s="9" t="s">
        <v>34</v>
      </c>
      <c r="S172" s="9" t="s">
        <v>34</v>
      </c>
      <c r="T172" s="9" t="s">
        <v>34</v>
      </c>
      <c r="U172" s="9" t="s">
        <v>34</v>
      </c>
      <c r="V172" s="9" t="s">
        <v>34</v>
      </c>
      <c r="W172" s="9" t="s">
        <v>34</v>
      </c>
      <c r="X172" s="9" t="s">
        <v>34</v>
      </c>
      <c r="Y172" s="9" t="s">
        <v>34</v>
      </c>
      <c r="Z172" s="9" t="s">
        <v>34</v>
      </c>
      <c r="AA172" s="9" t="s">
        <v>34</v>
      </c>
      <c r="AB172" s="9" t="s">
        <v>34</v>
      </c>
      <c r="AC172" s="9" t="s">
        <v>34</v>
      </c>
      <c r="AD172" s="9" t="s">
        <v>34</v>
      </c>
      <c r="AE172" s="9" t="s">
        <v>34</v>
      </c>
      <c r="AF172" s="56" t="s">
        <v>34</v>
      </c>
      <c r="AG172" s="135"/>
      <c r="AO172" s="78"/>
    </row>
    <row r="173" spans="1:41" ht="15.75" customHeight="1" thickBot="1">
      <c r="A173" s="119"/>
      <c r="B173" s="27" t="s">
        <v>201</v>
      </c>
      <c r="C173" s="20" t="s">
        <v>34</v>
      </c>
      <c r="D173" s="20" t="s">
        <v>34</v>
      </c>
      <c r="E173" s="20" t="s">
        <v>34</v>
      </c>
      <c r="F173" s="20" t="s">
        <v>34</v>
      </c>
      <c r="G173" s="20" t="s">
        <v>34</v>
      </c>
      <c r="H173" s="20" t="s">
        <v>34</v>
      </c>
      <c r="I173" s="20" t="s">
        <v>34</v>
      </c>
      <c r="J173" s="20" t="s">
        <v>34</v>
      </c>
      <c r="K173" s="20" t="s">
        <v>34</v>
      </c>
      <c r="L173" s="20" t="s">
        <v>34</v>
      </c>
      <c r="M173" s="20" t="s">
        <v>34</v>
      </c>
      <c r="N173" s="20" t="s">
        <v>34</v>
      </c>
      <c r="O173" s="20" t="s">
        <v>34</v>
      </c>
      <c r="P173" s="20" t="s">
        <v>34</v>
      </c>
      <c r="Q173" s="20" t="s">
        <v>34</v>
      </c>
      <c r="R173" s="20" t="s">
        <v>34</v>
      </c>
      <c r="S173" s="20" t="s">
        <v>34</v>
      </c>
      <c r="T173" s="20" t="s">
        <v>34</v>
      </c>
      <c r="U173" s="20" t="s">
        <v>34</v>
      </c>
      <c r="V173" s="20" t="s">
        <v>34</v>
      </c>
      <c r="W173" s="20" t="s">
        <v>34</v>
      </c>
      <c r="X173" s="20" t="s">
        <v>34</v>
      </c>
      <c r="Y173" s="20" t="s">
        <v>34</v>
      </c>
      <c r="Z173" s="20" t="s">
        <v>34</v>
      </c>
      <c r="AA173" s="20" t="s">
        <v>34</v>
      </c>
      <c r="AB173" s="20" t="s">
        <v>34</v>
      </c>
      <c r="AC173" s="20" t="s">
        <v>34</v>
      </c>
      <c r="AD173" s="20" t="s">
        <v>34</v>
      </c>
      <c r="AE173" s="20" t="s">
        <v>34</v>
      </c>
      <c r="AF173" s="57" t="s">
        <v>34</v>
      </c>
      <c r="AG173" s="135"/>
      <c r="AO173" s="78"/>
    </row>
    <row r="174" spans="1:41" ht="15.75" customHeight="1" thickBot="1">
      <c r="A174" s="61"/>
      <c r="B174"/>
      <c r="AF174" s="62"/>
    </row>
    <row r="175" spans="1:41" ht="15.75" customHeight="1" thickBot="1">
      <c r="A175" s="123" t="s">
        <v>202</v>
      </c>
      <c r="B175" s="124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6"/>
    </row>
    <row r="176" spans="1:41" ht="15" customHeight="1">
      <c r="A176" s="116" t="s">
        <v>203</v>
      </c>
      <c r="B176" s="28" t="s">
        <v>204</v>
      </c>
      <c r="C176" s="18" t="s">
        <v>33</v>
      </c>
      <c r="D176" s="18" t="s">
        <v>33</v>
      </c>
      <c r="E176" s="18" t="s">
        <v>33</v>
      </c>
      <c r="F176" s="18" t="s">
        <v>33</v>
      </c>
      <c r="G176" s="18" t="s">
        <v>33</v>
      </c>
      <c r="H176" s="18" t="s">
        <v>33</v>
      </c>
      <c r="I176" s="18" t="s">
        <v>33</v>
      </c>
      <c r="J176" s="18" t="s">
        <v>33</v>
      </c>
      <c r="K176" s="18" t="s">
        <v>33</v>
      </c>
      <c r="L176" s="18" t="s">
        <v>33</v>
      </c>
      <c r="M176" s="18" t="s">
        <v>33</v>
      </c>
      <c r="N176" s="18" t="s">
        <v>33</v>
      </c>
      <c r="O176" s="18" t="s">
        <v>33</v>
      </c>
      <c r="P176" s="18" t="s">
        <v>33</v>
      </c>
      <c r="Q176" s="18" t="s">
        <v>33</v>
      </c>
      <c r="R176" s="18" t="s">
        <v>33</v>
      </c>
      <c r="S176" s="18" t="s">
        <v>33</v>
      </c>
      <c r="T176" s="18" t="s">
        <v>33</v>
      </c>
      <c r="U176" s="18" t="s">
        <v>33</v>
      </c>
      <c r="V176" s="18" t="s">
        <v>33</v>
      </c>
      <c r="W176" s="18" t="s">
        <v>33</v>
      </c>
      <c r="X176" s="18" t="s">
        <v>33</v>
      </c>
      <c r="Y176" s="18" t="s">
        <v>33</v>
      </c>
      <c r="Z176" s="18" t="s">
        <v>33</v>
      </c>
      <c r="AA176" s="18" t="s">
        <v>33</v>
      </c>
      <c r="AB176" s="18" t="s">
        <v>33</v>
      </c>
      <c r="AC176" s="18" t="s">
        <v>33</v>
      </c>
      <c r="AD176" s="18" t="s">
        <v>33</v>
      </c>
      <c r="AE176" s="18" t="s">
        <v>33</v>
      </c>
      <c r="AF176" s="55" t="s">
        <v>33</v>
      </c>
      <c r="AG176" s="69" t="s">
        <v>359</v>
      </c>
      <c r="AH176" s="71" t="s">
        <v>360</v>
      </c>
      <c r="AI176" s="73" t="s">
        <v>361</v>
      </c>
      <c r="AJ176" s="75" t="s">
        <v>362</v>
      </c>
      <c r="AK176" s="85" t="s">
        <v>363</v>
      </c>
      <c r="AL176" s="83" t="s">
        <v>364</v>
      </c>
      <c r="AM176" s="81" t="s">
        <v>365</v>
      </c>
      <c r="AN176" s="79" t="s">
        <v>366</v>
      </c>
      <c r="AO176" s="77" t="s">
        <v>367</v>
      </c>
    </row>
    <row r="177" spans="1:41">
      <c r="A177" s="117"/>
      <c r="B177" s="6" t="s">
        <v>205</v>
      </c>
      <c r="C177" s="9" t="s">
        <v>33</v>
      </c>
      <c r="D177" s="9" t="s">
        <v>33</v>
      </c>
      <c r="E177" s="9" t="s">
        <v>33</v>
      </c>
      <c r="F177" s="9" t="s">
        <v>33</v>
      </c>
      <c r="G177" s="9" t="s">
        <v>33</v>
      </c>
      <c r="H177" s="9" t="s">
        <v>33</v>
      </c>
      <c r="I177" s="9" t="s">
        <v>33</v>
      </c>
      <c r="J177" s="9" t="s">
        <v>33</v>
      </c>
      <c r="K177" s="9" t="s">
        <v>33</v>
      </c>
      <c r="L177" s="9" t="s">
        <v>33</v>
      </c>
      <c r="M177" s="9" t="s">
        <v>33</v>
      </c>
      <c r="N177" s="9" t="s">
        <v>33</v>
      </c>
      <c r="O177" s="9" t="s">
        <v>33</v>
      </c>
      <c r="P177" s="9" t="s">
        <v>33</v>
      </c>
      <c r="Q177" s="9" t="s">
        <v>33</v>
      </c>
      <c r="R177" s="9" t="s">
        <v>33</v>
      </c>
      <c r="S177" s="9" t="s">
        <v>33</v>
      </c>
      <c r="T177" s="9" t="s">
        <v>33</v>
      </c>
      <c r="U177" s="9" t="s">
        <v>33</v>
      </c>
      <c r="V177" s="9" t="s">
        <v>33</v>
      </c>
      <c r="W177" s="9" t="s">
        <v>33</v>
      </c>
      <c r="X177" s="9" t="s">
        <v>33</v>
      </c>
      <c r="Y177" s="9" t="s">
        <v>33</v>
      </c>
      <c r="Z177" s="9" t="s">
        <v>33</v>
      </c>
      <c r="AA177" s="9" t="s">
        <v>33</v>
      </c>
      <c r="AB177" s="9" t="s">
        <v>33</v>
      </c>
      <c r="AC177" s="9" t="s">
        <v>33</v>
      </c>
      <c r="AD177" s="9" t="s">
        <v>33</v>
      </c>
      <c r="AE177" s="9" t="s">
        <v>33</v>
      </c>
      <c r="AF177" s="56" t="s">
        <v>303</v>
      </c>
      <c r="AG177" s="69"/>
      <c r="AH177" s="72"/>
      <c r="AI177" s="74"/>
      <c r="AJ177" s="76"/>
      <c r="AK177" s="86"/>
      <c r="AL177" s="84"/>
      <c r="AM177" s="82"/>
      <c r="AN177" s="80"/>
      <c r="AO177" s="78"/>
    </row>
    <row r="178" spans="1:41">
      <c r="A178" s="117"/>
      <c r="B178" s="6" t="s">
        <v>206</v>
      </c>
      <c r="C178" s="9" t="s">
        <v>33</v>
      </c>
      <c r="D178" s="9" t="s">
        <v>33</v>
      </c>
      <c r="E178" s="9" t="s">
        <v>33</v>
      </c>
      <c r="F178" s="9" t="s">
        <v>33</v>
      </c>
      <c r="G178" s="9" t="s">
        <v>33</v>
      </c>
      <c r="H178" s="9" t="s">
        <v>33</v>
      </c>
      <c r="I178" s="9" t="s">
        <v>33</v>
      </c>
      <c r="J178" s="9" t="s">
        <v>33</v>
      </c>
      <c r="K178" s="9" t="s">
        <v>33</v>
      </c>
      <c r="L178" s="9" t="s">
        <v>33</v>
      </c>
      <c r="M178" s="9" t="s">
        <v>33</v>
      </c>
      <c r="N178" s="9" t="s">
        <v>33</v>
      </c>
      <c r="O178" s="9" t="s">
        <v>33</v>
      </c>
      <c r="P178" s="9" t="s">
        <v>33</v>
      </c>
      <c r="Q178" s="9" t="s">
        <v>33</v>
      </c>
      <c r="R178" s="9" t="s">
        <v>33</v>
      </c>
      <c r="S178" s="9" t="s">
        <v>33</v>
      </c>
      <c r="T178" s="9" t="s">
        <v>33</v>
      </c>
      <c r="U178" s="9" t="s">
        <v>33</v>
      </c>
      <c r="V178" s="9" t="s">
        <v>33</v>
      </c>
      <c r="W178" s="9" t="s">
        <v>33</v>
      </c>
      <c r="X178" s="9" t="s">
        <v>33</v>
      </c>
      <c r="Y178" s="9" t="s">
        <v>33</v>
      </c>
      <c r="Z178" s="9" t="s">
        <v>33</v>
      </c>
      <c r="AA178" s="9" t="s">
        <v>33</v>
      </c>
      <c r="AB178" s="9" t="s">
        <v>33</v>
      </c>
      <c r="AC178" s="9" t="s">
        <v>33</v>
      </c>
      <c r="AD178" s="9" t="s">
        <v>303</v>
      </c>
      <c r="AE178" s="9" t="s">
        <v>303</v>
      </c>
      <c r="AF178" s="56" t="s">
        <v>34</v>
      </c>
      <c r="AG178" s="69"/>
      <c r="AH178" s="72"/>
      <c r="AI178" s="74"/>
      <c r="AJ178" s="76"/>
      <c r="AK178" s="86"/>
      <c r="AL178" s="84"/>
      <c r="AM178" s="82"/>
      <c r="AN178" s="80"/>
      <c r="AO178" s="78"/>
    </row>
    <row r="179" spans="1:41">
      <c r="A179" s="117"/>
      <c r="B179" s="6" t="s">
        <v>207</v>
      </c>
      <c r="C179" s="9" t="s">
        <v>33</v>
      </c>
      <c r="D179" s="9" t="s">
        <v>33</v>
      </c>
      <c r="E179" s="9" t="s">
        <v>33</v>
      </c>
      <c r="F179" s="9" t="s">
        <v>33</v>
      </c>
      <c r="G179" s="9" t="s">
        <v>33</v>
      </c>
      <c r="H179" s="9" t="s">
        <v>33</v>
      </c>
      <c r="I179" s="9" t="s">
        <v>33</v>
      </c>
      <c r="J179" s="9" t="s">
        <v>33</v>
      </c>
      <c r="K179" s="9" t="s">
        <v>33</v>
      </c>
      <c r="L179" s="9" t="s">
        <v>33</v>
      </c>
      <c r="M179" s="9" t="s">
        <v>33</v>
      </c>
      <c r="N179" s="9" t="s">
        <v>33</v>
      </c>
      <c r="O179" s="9" t="s">
        <v>33</v>
      </c>
      <c r="P179" s="9" t="s">
        <v>33</v>
      </c>
      <c r="Q179" s="9" t="s">
        <v>33</v>
      </c>
      <c r="R179" s="9" t="s">
        <v>33</v>
      </c>
      <c r="S179" s="9" t="s">
        <v>33</v>
      </c>
      <c r="T179" s="9" t="s">
        <v>33</v>
      </c>
      <c r="U179" s="9" t="s">
        <v>33</v>
      </c>
      <c r="V179" s="9" t="s">
        <v>33</v>
      </c>
      <c r="W179" s="9" t="s">
        <v>33</v>
      </c>
      <c r="X179" s="9" t="s">
        <v>33</v>
      </c>
      <c r="Y179" s="9" t="s">
        <v>33</v>
      </c>
      <c r="Z179" s="9" t="s">
        <v>33</v>
      </c>
      <c r="AA179" s="9" t="s">
        <v>33</v>
      </c>
      <c r="AB179" s="9" t="s">
        <v>33</v>
      </c>
      <c r="AC179" s="9" t="s">
        <v>33</v>
      </c>
      <c r="AD179" s="9" t="s">
        <v>303</v>
      </c>
      <c r="AE179" s="9" t="s">
        <v>34</v>
      </c>
      <c r="AF179" s="56" t="s">
        <v>34</v>
      </c>
      <c r="AG179" s="135"/>
      <c r="AH179" s="72"/>
      <c r="AI179" s="74"/>
      <c r="AJ179" s="76"/>
      <c r="AK179" s="86"/>
      <c r="AL179" s="84"/>
      <c r="AM179" s="82"/>
      <c r="AN179" s="80"/>
      <c r="AO179" s="78"/>
    </row>
    <row r="180" spans="1:41">
      <c r="A180" s="117"/>
      <c r="B180" s="6" t="s">
        <v>208</v>
      </c>
      <c r="C180" s="9" t="s">
        <v>33</v>
      </c>
      <c r="D180" s="9" t="s">
        <v>33</v>
      </c>
      <c r="E180" s="9" t="s">
        <v>33</v>
      </c>
      <c r="F180" s="9" t="s">
        <v>33</v>
      </c>
      <c r="G180" s="9" t="s">
        <v>33</v>
      </c>
      <c r="H180" s="9" t="s">
        <v>33</v>
      </c>
      <c r="I180" s="9" t="s">
        <v>33</v>
      </c>
      <c r="J180" s="9" t="s">
        <v>33</v>
      </c>
      <c r="K180" s="9" t="s">
        <v>33</v>
      </c>
      <c r="L180" s="9" t="s">
        <v>33</v>
      </c>
      <c r="M180" s="9" t="s">
        <v>33</v>
      </c>
      <c r="N180" s="9" t="s">
        <v>33</v>
      </c>
      <c r="O180" s="9" t="s">
        <v>33</v>
      </c>
      <c r="P180" s="9" t="s">
        <v>303</v>
      </c>
      <c r="Q180" s="9" t="s">
        <v>33</v>
      </c>
      <c r="R180" s="9" t="s">
        <v>303</v>
      </c>
      <c r="S180" s="9" t="s">
        <v>303</v>
      </c>
      <c r="T180" s="9" t="s">
        <v>303</v>
      </c>
      <c r="U180" s="9" t="s">
        <v>303</v>
      </c>
      <c r="V180" s="9" t="s">
        <v>303</v>
      </c>
      <c r="W180" s="9" t="s">
        <v>303</v>
      </c>
      <c r="X180" s="9" t="s">
        <v>303</v>
      </c>
      <c r="Y180" s="9" t="s">
        <v>303</v>
      </c>
      <c r="Z180" s="9" t="s">
        <v>303</v>
      </c>
      <c r="AA180" s="9" t="s">
        <v>303</v>
      </c>
      <c r="AB180" s="9" t="s">
        <v>33</v>
      </c>
      <c r="AC180" s="9" t="s">
        <v>303</v>
      </c>
      <c r="AD180" s="9" t="s">
        <v>34</v>
      </c>
      <c r="AE180" s="9" t="s">
        <v>34</v>
      </c>
      <c r="AF180" s="56" t="s">
        <v>34</v>
      </c>
      <c r="AG180" s="135"/>
      <c r="AH180" s="49"/>
      <c r="AI180" s="74"/>
      <c r="AJ180" s="76"/>
      <c r="AK180" s="86"/>
      <c r="AL180" s="84"/>
      <c r="AM180" s="82"/>
      <c r="AN180" s="80"/>
      <c r="AO180" s="78"/>
    </row>
    <row r="181" spans="1:41">
      <c r="A181" s="117"/>
      <c r="B181" s="6" t="s">
        <v>154</v>
      </c>
      <c r="C181" s="9" t="s">
        <v>33</v>
      </c>
      <c r="D181" s="9" t="s">
        <v>33</v>
      </c>
      <c r="E181" s="9" t="s">
        <v>33</v>
      </c>
      <c r="F181" s="9" t="s">
        <v>33</v>
      </c>
      <c r="G181" s="9" t="s">
        <v>33</v>
      </c>
      <c r="H181" s="9" t="s">
        <v>33</v>
      </c>
      <c r="I181" s="9" t="s">
        <v>33</v>
      </c>
      <c r="J181" s="9" t="s">
        <v>299</v>
      </c>
      <c r="K181" s="9" t="s">
        <v>33</v>
      </c>
      <c r="L181" s="9" t="s">
        <v>299</v>
      </c>
      <c r="M181" s="9" t="s">
        <v>303</v>
      </c>
      <c r="N181" s="9" t="s">
        <v>303</v>
      </c>
      <c r="O181" s="9" t="s">
        <v>303</v>
      </c>
      <c r="P181" s="9" t="s">
        <v>303</v>
      </c>
      <c r="Q181" s="9" t="s">
        <v>33</v>
      </c>
      <c r="R181" s="9" t="s">
        <v>303</v>
      </c>
      <c r="S181" s="9" t="s">
        <v>34</v>
      </c>
      <c r="T181" s="9" t="s">
        <v>34</v>
      </c>
      <c r="U181" s="9" t="s">
        <v>34</v>
      </c>
      <c r="V181" s="9" t="s">
        <v>34</v>
      </c>
      <c r="W181" s="9" t="s">
        <v>34</v>
      </c>
      <c r="X181" s="9" t="s">
        <v>34</v>
      </c>
      <c r="Y181" s="9" t="s">
        <v>34</v>
      </c>
      <c r="Z181" s="9" t="s">
        <v>34</v>
      </c>
      <c r="AA181" s="9" t="s">
        <v>34</v>
      </c>
      <c r="AB181" s="9" t="s">
        <v>303</v>
      </c>
      <c r="AC181" s="9" t="s">
        <v>34</v>
      </c>
      <c r="AD181" s="9" t="s">
        <v>34</v>
      </c>
      <c r="AE181" s="9" t="s">
        <v>34</v>
      </c>
      <c r="AF181" s="56" t="s">
        <v>34</v>
      </c>
      <c r="AG181" s="135"/>
      <c r="AH181" s="49"/>
      <c r="AI181" s="74"/>
      <c r="AJ181" s="76"/>
      <c r="AK181" s="86"/>
      <c r="AL181" s="84"/>
      <c r="AM181" s="82"/>
      <c r="AN181" s="80"/>
      <c r="AO181" s="78"/>
    </row>
    <row r="182" spans="1:41">
      <c r="A182" s="117"/>
      <c r="B182" s="6" t="s">
        <v>209</v>
      </c>
      <c r="C182" s="9" t="s">
        <v>33</v>
      </c>
      <c r="D182" s="9" t="s">
        <v>33</v>
      </c>
      <c r="E182" s="9" t="s">
        <v>33</v>
      </c>
      <c r="F182" s="9" t="s">
        <v>33</v>
      </c>
      <c r="G182" s="9" t="s">
        <v>33</v>
      </c>
      <c r="H182" s="9" t="s">
        <v>33</v>
      </c>
      <c r="I182" s="9" t="s">
        <v>33</v>
      </c>
      <c r="J182" s="9" t="s">
        <v>303</v>
      </c>
      <c r="K182" s="9" t="s">
        <v>33</v>
      </c>
      <c r="L182" s="9" t="s">
        <v>303</v>
      </c>
      <c r="M182" s="9" t="s">
        <v>33</v>
      </c>
      <c r="N182" s="9" t="s">
        <v>33</v>
      </c>
      <c r="O182" s="9" t="s">
        <v>33</v>
      </c>
      <c r="P182" s="9" t="s">
        <v>33</v>
      </c>
      <c r="Q182" s="9" t="s">
        <v>33</v>
      </c>
      <c r="R182" s="9" t="s">
        <v>303</v>
      </c>
      <c r="S182" s="9" t="s">
        <v>303</v>
      </c>
      <c r="T182" s="9" t="s">
        <v>303</v>
      </c>
      <c r="U182" s="9" t="s">
        <v>303</v>
      </c>
      <c r="V182" s="9" t="s">
        <v>303</v>
      </c>
      <c r="W182" s="9" t="s">
        <v>303</v>
      </c>
      <c r="X182" s="9" t="s">
        <v>303</v>
      </c>
      <c r="Y182" s="9" t="s">
        <v>303</v>
      </c>
      <c r="Z182" s="9" t="s">
        <v>303</v>
      </c>
      <c r="AA182" s="9" t="s">
        <v>303</v>
      </c>
      <c r="AB182" s="9" t="s">
        <v>33</v>
      </c>
      <c r="AC182" s="9" t="s">
        <v>303</v>
      </c>
      <c r="AD182" s="9" t="s">
        <v>34</v>
      </c>
      <c r="AE182" s="9" t="s">
        <v>34</v>
      </c>
      <c r="AF182" s="56" t="s">
        <v>34</v>
      </c>
      <c r="AG182" s="135"/>
      <c r="AH182" s="49"/>
      <c r="AI182" s="74"/>
      <c r="AJ182" s="76"/>
      <c r="AK182" s="86"/>
      <c r="AL182" s="84"/>
      <c r="AM182" s="82"/>
      <c r="AN182" s="80"/>
      <c r="AO182" s="78"/>
    </row>
    <row r="183" spans="1:41">
      <c r="A183" s="117"/>
      <c r="B183" s="6" t="s">
        <v>210</v>
      </c>
      <c r="C183" s="9" t="s">
        <v>33</v>
      </c>
      <c r="D183" s="9" t="s">
        <v>33</v>
      </c>
      <c r="E183" s="9" t="s">
        <v>33</v>
      </c>
      <c r="F183" s="9" t="s">
        <v>33</v>
      </c>
      <c r="G183" s="9" t="s">
        <v>33</v>
      </c>
      <c r="H183" s="9" t="s">
        <v>33</v>
      </c>
      <c r="I183" s="9" t="s">
        <v>33</v>
      </c>
      <c r="J183" s="9" t="s">
        <v>299</v>
      </c>
      <c r="K183" s="9" t="s">
        <v>33</v>
      </c>
      <c r="L183" s="9" t="s">
        <v>299</v>
      </c>
      <c r="M183" s="9" t="s">
        <v>303</v>
      </c>
      <c r="N183" s="9" t="s">
        <v>303</v>
      </c>
      <c r="O183" s="9" t="s">
        <v>303</v>
      </c>
      <c r="P183" s="9" t="s">
        <v>303</v>
      </c>
      <c r="Q183" s="9" t="s">
        <v>33</v>
      </c>
      <c r="R183" s="9" t="s">
        <v>303</v>
      </c>
      <c r="S183" s="9" t="s">
        <v>303</v>
      </c>
      <c r="T183" s="9" t="s">
        <v>303</v>
      </c>
      <c r="U183" s="9" t="s">
        <v>303</v>
      </c>
      <c r="V183" s="9" t="s">
        <v>303</v>
      </c>
      <c r="W183" s="9" t="s">
        <v>303</v>
      </c>
      <c r="X183" s="9" t="s">
        <v>303</v>
      </c>
      <c r="Y183" s="9" t="s">
        <v>34</v>
      </c>
      <c r="Z183" s="9" t="s">
        <v>34</v>
      </c>
      <c r="AA183" s="9" t="s">
        <v>34</v>
      </c>
      <c r="AB183" s="9" t="s">
        <v>303</v>
      </c>
      <c r="AC183" s="9" t="s">
        <v>34</v>
      </c>
      <c r="AD183" s="9" t="s">
        <v>34</v>
      </c>
      <c r="AE183" s="9" t="s">
        <v>34</v>
      </c>
      <c r="AF183" s="56" t="s">
        <v>34</v>
      </c>
      <c r="AG183" s="135"/>
      <c r="AH183" s="49"/>
      <c r="AI183" s="74"/>
      <c r="AJ183" s="76"/>
      <c r="AK183" s="86"/>
      <c r="AL183" s="84"/>
      <c r="AM183" s="82"/>
      <c r="AN183" s="80"/>
      <c r="AO183" s="78"/>
    </row>
    <row r="184" spans="1:41">
      <c r="A184" s="117"/>
      <c r="B184" s="6" t="s">
        <v>211</v>
      </c>
      <c r="C184" s="9" t="s">
        <v>33</v>
      </c>
      <c r="D184" s="9" t="s">
        <v>33</v>
      </c>
      <c r="E184" s="9" t="s">
        <v>33</v>
      </c>
      <c r="F184" s="9" t="s">
        <v>33</v>
      </c>
      <c r="G184" s="9" t="s">
        <v>33</v>
      </c>
      <c r="H184" s="9" t="s">
        <v>33</v>
      </c>
      <c r="I184" s="9" t="s">
        <v>33</v>
      </c>
      <c r="J184" s="9" t="s">
        <v>33</v>
      </c>
      <c r="K184" s="9" t="s">
        <v>33</v>
      </c>
      <c r="L184" s="9" t="s">
        <v>33</v>
      </c>
      <c r="M184" s="9" t="s">
        <v>303</v>
      </c>
      <c r="N184" s="9" t="s">
        <v>303</v>
      </c>
      <c r="O184" s="9" t="s">
        <v>303</v>
      </c>
      <c r="P184" s="9" t="s">
        <v>303</v>
      </c>
      <c r="Q184" s="9" t="s">
        <v>303</v>
      </c>
      <c r="R184" s="9" t="s">
        <v>34</v>
      </c>
      <c r="S184" s="9" t="s">
        <v>34</v>
      </c>
      <c r="T184" s="9" t="s">
        <v>34</v>
      </c>
      <c r="U184" s="9" t="s">
        <v>34</v>
      </c>
      <c r="V184" s="9" t="s">
        <v>34</v>
      </c>
      <c r="W184" s="9" t="s">
        <v>34</v>
      </c>
      <c r="X184" s="9" t="s">
        <v>34</v>
      </c>
      <c r="Y184" s="9" t="s">
        <v>34</v>
      </c>
      <c r="Z184" s="9" t="s">
        <v>34</v>
      </c>
      <c r="AA184" s="9" t="s">
        <v>34</v>
      </c>
      <c r="AB184" s="9" t="s">
        <v>34</v>
      </c>
      <c r="AC184" s="9" t="s">
        <v>34</v>
      </c>
      <c r="AD184" s="9" t="s">
        <v>34</v>
      </c>
      <c r="AE184" s="9" t="s">
        <v>34</v>
      </c>
      <c r="AF184" s="56" t="s">
        <v>34</v>
      </c>
      <c r="AG184" s="135"/>
      <c r="AH184" s="49"/>
      <c r="AI184" s="49"/>
      <c r="AJ184" s="76"/>
      <c r="AK184" s="86"/>
      <c r="AL184" s="84"/>
      <c r="AM184" s="82"/>
      <c r="AN184" s="80"/>
      <c r="AO184" s="78"/>
    </row>
    <row r="185" spans="1:41">
      <c r="A185" s="117"/>
      <c r="B185" s="6" t="s">
        <v>212</v>
      </c>
      <c r="C185" s="9" t="s">
        <v>33</v>
      </c>
      <c r="D185" s="9" t="s">
        <v>33</v>
      </c>
      <c r="E185" s="9" t="s">
        <v>33</v>
      </c>
      <c r="F185" s="9" t="s">
        <v>299</v>
      </c>
      <c r="G185" s="9" t="s">
        <v>33</v>
      </c>
      <c r="H185" s="9" t="s">
        <v>33</v>
      </c>
      <c r="I185" s="9" t="s">
        <v>33</v>
      </c>
      <c r="J185" s="9" t="s">
        <v>33</v>
      </c>
      <c r="K185" s="9" t="s">
        <v>303</v>
      </c>
      <c r="L185" s="9" t="s">
        <v>303</v>
      </c>
      <c r="M185" s="9" t="s">
        <v>303</v>
      </c>
      <c r="N185" s="9" t="s">
        <v>303</v>
      </c>
      <c r="O185" s="9" t="s">
        <v>303</v>
      </c>
      <c r="P185" s="9" t="s">
        <v>303</v>
      </c>
      <c r="Q185" s="9" t="s">
        <v>34</v>
      </c>
      <c r="R185" s="9" t="s">
        <v>34</v>
      </c>
      <c r="S185" s="9" t="s">
        <v>34</v>
      </c>
      <c r="T185" s="9" t="s">
        <v>34</v>
      </c>
      <c r="U185" s="9" t="s">
        <v>34</v>
      </c>
      <c r="V185" s="9" t="s">
        <v>34</v>
      </c>
      <c r="W185" s="9" t="s">
        <v>34</v>
      </c>
      <c r="X185" s="9" t="s">
        <v>34</v>
      </c>
      <c r="Y185" s="9" t="s">
        <v>34</v>
      </c>
      <c r="Z185" s="9" t="s">
        <v>34</v>
      </c>
      <c r="AA185" s="9" t="s">
        <v>34</v>
      </c>
      <c r="AB185" s="9" t="s">
        <v>34</v>
      </c>
      <c r="AC185" s="9" t="s">
        <v>34</v>
      </c>
      <c r="AD185" s="9" t="s">
        <v>34</v>
      </c>
      <c r="AE185" s="9" t="s">
        <v>34</v>
      </c>
      <c r="AF185" s="56" t="s">
        <v>34</v>
      </c>
      <c r="AG185" s="135"/>
      <c r="AH185" s="49"/>
      <c r="AI185" s="49"/>
      <c r="AJ185" s="49"/>
      <c r="AK185" s="86"/>
      <c r="AL185" s="84"/>
      <c r="AM185" s="82"/>
      <c r="AN185" s="80"/>
      <c r="AO185" s="78"/>
    </row>
    <row r="186" spans="1:41">
      <c r="A186" s="117"/>
      <c r="B186" s="6" t="s">
        <v>213</v>
      </c>
      <c r="C186" s="9" t="s">
        <v>33</v>
      </c>
      <c r="D186" s="9" t="s">
        <v>33</v>
      </c>
      <c r="E186" s="9" t="s">
        <v>33</v>
      </c>
      <c r="F186" s="9" t="s">
        <v>33</v>
      </c>
      <c r="G186" s="9" t="s">
        <v>33</v>
      </c>
      <c r="H186" s="9" t="s">
        <v>33</v>
      </c>
      <c r="I186" s="9" t="s">
        <v>33</v>
      </c>
      <c r="J186" s="9" t="s">
        <v>299</v>
      </c>
      <c r="K186" s="9" t="s">
        <v>303</v>
      </c>
      <c r="L186" s="9" t="s">
        <v>34</v>
      </c>
      <c r="M186" s="9" t="s">
        <v>303</v>
      </c>
      <c r="N186" s="9" t="s">
        <v>303</v>
      </c>
      <c r="O186" s="9" t="s">
        <v>303</v>
      </c>
      <c r="P186" s="9" t="s">
        <v>303</v>
      </c>
      <c r="Q186" s="9" t="s">
        <v>34</v>
      </c>
      <c r="R186" s="9" t="s">
        <v>34</v>
      </c>
      <c r="S186" s="9" t="s">
        <v>34</v>
      </c>
      <c r="T186" s="9" t="s">
        <v>34</v>
      </c>
      <c r="U186" s="9" t="s">
        <v>34</v>
      </c>
      <c r="V186" s="9" t="s">
        <v>34</v>
      </c>
      <c r="W186" s="9" t="s">
        <v>34</v>
      </c>
      <c r="X186" s="9" t="s">
        <v>34</v>
      </c>
      <c r="Y186" s="9" t="s">
        <v>34</v>
      </c>
      <c r="Z186" s="9" t="s">
        <v>34</v>
      </c>
      <c r="AA186" s="9" t="s">
        <v>34</v>
      </c>
      <c r="AB186" s="9" t="s">
        <v>34</v>
      </c>
      <c r="AC186" s="9" t="s">
        <v>34</v>
      </c>
      <c r="AD186" s="9" t="s">
        <v>34</v>
      </c>
      <c r="AE186" s="9" t="s">
        <v>34</v>
      </c>
      <c r="AF186" s="56" t="s">
        <v>34</v>
      </c>
      <c r="AG186" s="135"/>
      <c r="AH186" s="49"/>
      <c r="AI186" s="49"/>
      <c r="AJ186" s="49"/>
      <c r="AK186" s="86"/>
      <c r="AL186" s="84"/>
      <c r="AM186" s="82"/>
      <c r="AN186" s="80"/>
      <c r="AO186" s="78"/>
    </row>
    <row r="187" spans="1:41">
      <c r="A187" s="117"/>
      <c r="B187" s="6" t="s">
        <v>214</v>
      </c>
      <c r="C187" s="9" t="s">
        <v>33</v>
      </c>
      <c r="D187" s="9" t="s">
        <v>33</v>
      </c>
      <c r="E187" s="9" t="s">
        <v>33</v>
      </c>
      <c r="F187" s="9" t="s">
        <v>33</v>
      </c>
      <c r="G187" s="9" t="s">
        <v>33</v>
      </c>
      <c r="H187" s="9" t="s">
        <v>33</v>
      </c>
      <c r="I187" s="9" t="s">
        <v>33</v>
      </c>
      <c r="J187" s="9" t="s">
        <v>303</v>
      </c>
      <c r="K187" s="9" t="s">
        <v>33</v>
      </c>
      <c r="L187" s="9" t="s">
        <v>34</v>
      </c>
      <c r="M187" s="9" t="s">
        <v>303</v>
      </c>
      <c r="N187" s="9" t="s">
        <v>303</v>
      </c>
      <c r="O187" s="9" t="s">
        <v>34</v>
      </c>
      <c r="P187" s="9" t="s">
        <v>34</v>
      </c>
      <c r="Q187" s="9" t="s">
        <v>34</v>
      </c>
      <c r="R187" s="9" t="s">
        <v>34</v>
      </c>
      <c r="S187" s="9" t="s">
        <v>34</v>
      </c>
      <c r="T187" s="9" t="s">
        <v>34</v>
      </c>
      <c r="U187" s="9" t="s">
        <v>34</v>
      </c>
      <c r="V187" s="9" t="s">
        <v>34</v>
      </c>
      <c r="W187" s="9" t="s">
        <v>34</v>
      </c>
      <c r="X187" s="9" t="s">
        <v>34</v>
      </c>
      <c r="Y187" s="9" t="s">
        <v>34</v>
      </c>
      <c r="Z187" s="9" t="s">
        <v>34</v>
      </c>
      <c r="AA187" s="9" t="s">
        <v>34</v>
      </c>
      <c r="AB187" s="9" t="s">
        <v>34</v>
      </c>
      <c r="AC187" s="9" t="s">
        <v>34</v>
      </c>
      <c r="AD187" s="9" t="s">
        <v>34</v>
      </c>
      <c r="AE187" s="9" t="s">
        <v>34</v>
      </c>
      <c r="AF187" s="56" t="s">
        <v>34</v>
      </c>
      <c r="AG187" s="135"/>
      <c r="AH187" s="49"/>
      <c r="AI187" s="49"/>
      <c r="AJ187" s="49"/>
      <c r="AK187" s="49"/>
      <c r="AL187" s="84"/>
      <c r="AM187" s="82"/>
      <c r="AN187" s="80"/>
      <c r="AO187" s="78"/>
    </row>
    <row r="188" spans="1:41">
      <c r="A188" s="117"/>
      <c r="B188" s="6" t="s">
        <v>165</v>
      </c>
      <c r="C188" s="9" t="s">
        <v>33</v>
      </c>
      <c r="D188" s="9" t="s">
        <v>33</v>
      </c>
      <c r="E188" s="9" t="s">
        <v>33</v>
      </c>
      <c r="F188" s="9" t="s">
        <v>303</v>
      </c>
      <c r="G188" s="9" t="s">
        <v>303</v>
      </c>
      <c r="H188" s="9" t="s">
        <v>33</v>
      </c>
      <c r="I188" s="9" t="s">
        <v>33</v>
      </c>
      <c r="J188" s="9" t="s">
        <v>34</v>
      </c>
      <c r="K188" s="9" t="s">
        <v>303</v>
      </c>
      <c r="L188" s="9" t="s">
        <v>34</v>
      </c>
      <c r="M188" s="9" t="s">
        <v>34</v>
      </c>
      <c r="N188" s="9" t="s">
        <v>34</v>
      </c>
      <c r="O188" s="9" t="s">
        <v>34</v>
      </c>
      <c r="P188" s="9" t="s">
        <v>34</v>
      </c>
      <c r="Q188" s="9" t="s">
        <v>34</v>
      </c>
      <c r="R188" s="9" t="s">
        <v>34</v>
      </c>
      <c r="S188" s="9" t="s">
        <v>34</v>
      </c>
      <c r="T188" s="9" t="s">
        <v>34</v>
      </c>
      <c r="U188" s="9" t="s">
        <v>34</v>
      </c>
      <c r="V188" s="9" t="s">
        <v>34</v>
      </c>
      <c r="W188" s="9" t="s">
        <v>34</v>
      </c>
      <c r="X188" s="9" t="s">
        <v>34</v>
      </c>
      <c r="Y188" s="9" t="s">
        <v>34</v>
      </c>
      <c r="Z188" s="9" t="s">
        <v>34</v>
      </c>
      <c r="AA188" s="9" t="s">
        <v>34</v>
      </c>
      <c r="AB188" s="9" t="s">
        <v>34</v>
      </c>
      <c r="AC188" s="9" t="s">
        <v>34</v>
      </c>
      <c r="AD188" s="9" t="s">
        <v>34</v>
      </c>
      <c r="AE188" s="9" t="s">
        <v>34</v>
      </c>
      <c r="AF188" s="56" t="s">
        <v>34</v>
      </c>
      <c r="AG188" s="135"/>
      <c r="AH188" s="49"/>
      <c r="AI188" s="49"/>
      <c r="AJ188" s="49"/>
      <c r="AK188" s="49"/>
      <c r="AL188" s="84"/>
      <c r="AM188" s="82"/>
      <c r="AN188" s="80"/>
      <c r="AO188" s="78"/>
    </row>
    <row r="189" spans="1:41">
      <c r="A189" s="117"/>
      <c r="B189" s="6" t="s">
        <v>215</v>
      </c>
      <c r="C189" s="9" t="s">
        <v>33</v>
      </c>
      <c r="D189" s="9" t="s">
        <v>299</v>
      </c>
      <c r="E189" s="9" t="s">
        <v>33</v>
      </c>
      <c r="F189" s="9" t="s">
        <v>34</v>
      </c>
      <c r="G189" s="9" t="s">
        <v>34</v>
      </c>
      <c r="H189" s="9" t="s">
        <v>303</v>
      </c>
      <c r="I189" s="9" t="s">
        <v>33</v>
      </c>
      <c r="J189" s="9" t="s">
        <v>34</v>
      </c>
      <c r="K189" s="9" t="s">
        <v>34</v>
      </c>
      <c r="L189" s="9" t="s">
        <v>34</v>
      </c>
      <c r="M189" s="9" t="s">
        <v>34</v>
      </c>
      <c r="N189" s="9" t="s">
        <v>34</v>
      </c>
      <c r="O189" s="9" t="s">
        <v>34</v>
      </c>
      <c r="P189" s="9" t="s">
        <v>34</v>
      </c>
      <c r="Q189" s="9" t="s">
        <v>34</v>
      </c>
      <c r="R189" s="9" t="s">
        <v>34</v>
      </c>
      <c r="S189" s="9" t="s">
        <v>34</v>
      </c>
      <c r="T189" s="9" t="s">
        <v>34</v>
      </c>
      <c r="U189" s="9" t="s">
        <v>34</v>
      </c>
      <c r="V189" s="9" t="s">
        <v>34</v>
      </c>
      <c r="W189" s="9" t="s">
        <v>34</v>
      </c>
      <c r="X189" s="9" t="s">
        <v>34</v>
      </c>
      <c r="Y189" s="9" t="s">
        <v>34</v>
      </c>
      <c r="Z189" s="9" t="s">
        <v>34</v>
      </c>
      <c r="AA189" s="9" t="s">
        <v>34</v>
      </c>
      <c r="AB189" s="9" t="s">
        <v>34</v>
      </c>
      <c r="AC189" s="9" t="s">
        <v>34</v>
      </c>
      <c r="AD189" s="9" t="s">
        <v>34</v>
      </c>
      <c r="AE189" s="9" t="s">
        <v>34</v>
      </c>
      <c r="AF189" s="56" t="s">
        <v>34</v>
      </c>
      <c r="AG189" s="135"/>
      <c r="AH189" s="49"/>
      <c r="AI189" s="49"/>
      <c r="AJ189" s="49"/>
      <c r="AK189" s="49"/>
      <c r="AL189" s="84"/>
      <c r="AM189" s="82"/>
      <c r="AN189" s="80"/>
      <c r="AO189" s="78"/>
    </row>
    <row r="190" spans="1:41">
      <c r="A190" s="117"/>
      <c r="B190" s="6" t="s">
        <v>216</v>
      </c>
      <c r="C190" s="9" t="s">
        <v>33</v>
      </c>
      <c r="D190" s="9" t="s">
        <v>299</v>
      </c>
      <c r="E190" s="9" t="s">
        <v>299</v>
      </c>
      <c r="F190" s="9" t="s">
        <v>34</v>
      </c>
      <c r="G190" s="9" t="s">
        <v>34</v>
      </c>
      <c r="H190" s="9" t="s">
        <v>34</v>
      </c>
      <c r="I190" s="9" t="s">
        <v>303</v>
      </c>
      <c r="J190" s="9" t="s">
        <v>34</v>
      </c>
      <c r="K190" s="9" t="s">
        <v>34</v>
      </c>
      <c r="L190" s="9" t="s">
        <v>34</v>
      </c>
      <c r="M190" s="9" t="s">
        <v>34</v>
      </c>
      <c r="N190" s="9" t="s">
        <v>34</v>
      </c>
      <c r="O190" s="9" t="s">
        <v>34</v>
      </c>
      <c r="P190" s="9" t="s">
        <v>34</v>
      </c>
      <c r="Q190" s="9" t="s">
        <v>34</v>
      </c>
      <c r="R190" s="9" t="s">
        <v>34</v>
      </c>
      <c r="S190" s="9" t="s">
        <v>34</v>
      </c>
      <c r="T190" s="9" t="s">
        <v>34</v>
      </c>
      <c r="U190" s="9" t="s">
        <v>34</v>
      </c>
      <c r="V190" s="9" t="s">
        <v>34</v>
      </c>
      <c r="W190" s="9" t="s">
        <v>34</v>
      </c>
      <c r="X190" s="9" t="s">
        <v>34</v>
      </c>
      <c r="Y190" s="9" t="s">
        <v>34</v>
      </c>
      <c r="Z190" s="9" t="s">
        <v>34</v>
      </c>
      <c r="AA190" s="9" t="s">
        <v>34</v>
      </c>
      <c r="AB190" s="9" t="s">
        <v>34</v>
      </c>
      <c r="AC190" s="9" t="s">
        <v>34</v>
      </c>
      <c r="AD190" s="9" t="s">
        <v>34</v>
      </c>
      <c r="AE190" s="9" t="s">
        <v>34</v>
      </c>
      <c r="AF190" s="56" t="s">
        <v>34</v>
      </c>
      <c r="AG190" s="135"/>
      <c r="AH190" s="50"/>
      <c r="AI190" s="49"/>
      <c r="AJ190" s="49"/>
      <c r="AK190" s="49"/>
      <c r="AL190" s="49"/>
      <c r="AM190" s="49"/>
      <c r="AN190" s="49"/>
      <c r="AO190" s="78"/>
    </row>
    <row r="191" spans="1:41">
      <c r="A191" s="117"/>
      <c r="B191" s="6" t="s">
        <v>217</v>
      </c>
      <c r="C191" s="9" t="s">
        <v>33</v>
      </c>
      <c r="D191" s="9" t="s">
        <v>303</v>
      </c>
      <c r="E191" s="9" t="s">
        <v>303</v>
      </c>
      <c r="F191" s="9" t="s">
        <v>303</v>
      </c>
      <c r="G191" s="9" t="s">
        <v>303</v>
      </c>
      <c r="H191" s="9" t="s">
        <v>303</v>
      </c>
      <c r="I191" s="9" t="s">
        <v>303</v>
      </c>
      <c r="J191" s="9" t="s">
        <v>34</v>
      </c>
      <c r="K191" s="9" t="s">
        <v>34</v>
      </c>
      <c r="L191" s="9" t="s">
        <v>34</v>
      </c>
      <c r="M191" s="9" t="s">
        <v>34</v>
      </c>
      <c r="N191" s="9" t="s">
        <v>34</v>
      </c>
      <c r="O191" s="9" t="s">
        <v>34</v>
      </c>
      <c r="P191" s="9" t="s">
        <v>34</v>
      </c>
      <c r="Q191" s="9" t="s">
        <v>34</v>
      </c>
      <c r="R191" s="9" t="s">
        <v>34</v>
      </c>
      <c r="S191" s="9" t="s">
        <v>34</v>
      </c>
      <c r="T191" s="9" t="s">
        <v>34</v>
      </c>
      <c r="U191" s="9" t="s">
        <v>34</v>
      </c>
      <c r="V191" s="9" t="s">
        <v>34</v>
      </c>
      <c r="W191" s="9" t="s">
        <v>34</v>
      </c>
      <c r="X191" s="9" t="s">
        <v>34</v>
      </c>
      <c r="Y191" s="9" t="s">
        <v>34</v>
      </c>
      <c r="Z191" s="9" t="s">
        <v>34</v>
      </c>
      <c r="AA191" s="9" t="s">
        <v>34</v>
      </c>
      <c r="AB191" s="9" t="s">
        <v>34</v>
      </c>
      <c r="AC191" s="9" t="s">
        <v>34</v>
      </c>
      <c r="AD191" s="9" t="s">
        <v>34</v>
      </c>
      <c r="AE191" s="9" t="s">
        <v>34</v>
      </c>
      <c r="AF191" s="56" t="s">
        <v>34</v>
      </c>
      <c r="AG191" s="135"/>
      <c r="AO191" s="78"/>
    </row>
    <row r="192" spans="1:41">
      <c r="A192" s="117"/>
      <c r="B192" s="6" t="s">
        <v>218</v>
      </c>
      <c r="C192" s="9" t="s">
        <v>33</v>
      </c>
      <c r="D192" s="9" t="s">
        <v>34</v>
      </c>
      <c r="E192" s="9" t="s">
        <v>303</v>
      </c>
      <c r="F192" s="9" t="s">
        <v>34</v>
      </c>
      <c r="G192" s="9" t="s">
        <v>34</v>
      </c>
      <c r="H192" s="9" t="s">
        <v>34</v>
      </c>
      <c r="I192" s="9" t="s">
        <v>34</v>
      </c>
      <c r="J192" s="9" t="s">
        <v>34</v>
      </c>
      <c r="K192" s="9" t="s">
        <v>34</v>
      </c>
      <c r="L192" s="9" t="s">
        <v>34</v>
      </c>
      <c r="M192" s="9" t="s">
        <v>34</v>
      </c>
      <c r="N192" s="9" t="s">
        <v>34</v>
      </c>
      <c r="O192" s="9" t="s">
        <v>34</v>
      </c>
      <c r="P192" s="9" t="s">
        <v>34</v>
      </c>
      <c r="Q192" s="9" t="s">
        <v>34</v>
      </c>
      <c r="R192" s="9" t="s">
        <v>34</v>
      </c>
      <c r="S192" s="9" t="s">
        <v>34</v>
      </c>
      <c r="T192" s="9" t="s">
        <v>34</v>
      </c>
      <c r="U192" s="9" t="s">
        <v>34</v>
      </c>
      <c r="V192" s="9" t="s">
        <v>34</v>
      </c>
      <c r="W192" s="9" t="s">
        <v>34</v>
      </c>
      <c r="X192" s="9" t="s">
        <v>34</v>
      </c>
      <c r="Y192" s="9" t="s">
        <v>34</v>
      </c>
      <c r="Z192" s="9" t="s">
        <v>34</v>
      </c>
      <c r="AA192" s="9" t="s">
        <v>34</v>
      </c>
      <c r="AB192" s="9" t="s">
        <v>34</v>
      </c>
      <c r="AC192" s="9" t="s">
        <v>34</v>
      </c>
      <c r="AD192" s="9" t="s">
        <v>34</v>
      </c>
      <c r="AE192" s="9" t="s">
        <v>34</v>
      </c>
      <c r="AF192" s="56" t="s">
        <v>34</v>
      </c>
      <c r="AG192" s="135"/>
      <c r="AO192" s="78"/>
    </row>
    <row r="193" spans="1:41" ht="15.75" customHeight="1" thickBot="1">
      <c r="A193" s="119"/>
      <c r="B193" s="29" t="s">
        <v>219</v>
      </c>
      <c r="C193" s="20" t="s">
        <v>303</v>
      </c>
      <c r="D193" s="20" t="s">
        <v>34</v>
      </c>
      <c r="E193" s="20" t="s">
        <v>34</v>
      </c>
      <c r="F193" s="20" t="s">
        <v>34</v>
      </c>
      <c r="G193" s="20" t="s">
        <v>34</v>
      </c>
      <c r="H193" s="20" t="s">
        <v>34</v>
      </c>
      <c r="I193" s="20" t="s">
        <v>34</v>
      </c>
      <c r="J193" s="20" t="s">
        <v>34</v>
      </c>
      <c r="K193" s="20" t="s">
        <v>34</v>
      </c>
      <c r="L193" s="20" t="s">
        <v>34</v>
      </c>
      <c r="M193" s="20" t="s">
        <v>34</v>
      </c>
      <c r="N193" s="20" t="s">
        <v>34</v>
      </c>
      <c r="O193" s="20" t="s">
        <v>34</v>
      </c>
      <c r="P193" s="20" t="s">
        <v>34</v>
      </c>
      <c r="Q193" s="20" t="s">
        <v>34</v>
      </c>
      <c r="R193" s="20" t="s">
        <v>34</v>
      </c>
      <c r="S193" s="20" t="s">
        <v>34</v>
      </c>
      <c r="T193" s="20" t="s">
        <v>34</v>
      </c>
      <c r="U193" s="20" t="s">
        <v>34</v>
      </c>
      <c r="V193" s="20" t="s">
        <v>34</v>
      </c>
      <c r="W193" s="20" t="s">
        <v>34</v>
      </c>
      <c r="X193" s="20" t="s">
        <v>34</v>
      </c>
      <c r="Y193" s="20" t="s">
        <v>34</v>
      </c>
      <c r="Z193" s="20" t="s">
        <v>34</v>
      </c>
      <c r="AA193" s="20" t="s">
        <v>34</v>
      </c>
      <c r="AB193" s="20" t="s">
        <v>34</v>
      </c>
      <c r="AC193" s="20" t="s">
        <v>34</v>
      </c>
      <c r="AD193" s="20" t="s">
        <v>34</v>
      </c>
      <c r="AE193" s="20" t="s">
        <v>34</v>
      </c>
      <c r="AF193" s="57" t="s">
        <v>34</v>
      </c>
      <c r="AG193" s="135"/>
      <c r="AO193" s="78"/>
    </row>
    <row r="194" spans="1:41" ht="15" customHeight="1">
      <c r="A194" s="116" t="s">
        <v>220</v>
      </c>
      <c r="B194" s="28" t="s">
        <v>221</v>
      </c>
      <c r="C194" s="18" t="s">
        <v>33</v>
      </c>
      <c r="D194" s="18" t="s">
        <v>33</v>
      </c>
      <c r="E194" s="18" t="s">
        <v>33</v>
      </c>
      <c r="F194" s="18" t="s">
        <v>33</v>
      </c>
      <c r="G194" s="18" t="s">
        <v>33</v>
      </c>
      <c r="H194" s="18" t="s">
        <v>33</v>
      </c>
      <c r="I194" s="18" t="s">
        <v>33</v>
      </c>
      <c r="J194" s="18" t="s">
        <v>33</v>
      </c>
      <c r="K194" s="18" t="s">
        <v>33</v>
      </c>
      <c r="L194" s="18" t="s">
        <v>33</v>
      </c>
      <c r="M194" s="18" t="s">
        <v>33</v>
      </c>
      <c r="N194" s="18" t="s">
        <v>33</v>
      </c>
      <c r="O194" s="18" t="s">
        <v>33</v>
      </c>
      <c r="P194" s="18" t="s">
        <v>33</v>
      </c>
      <c r="Q194" s="18" t="s">
        <v>33</v>
      </c>
      <c r="R194" s="18" t="s">
        <v>33</v>
      </c>
      <c r="S194" s="18" t="s">
        <v>33</v>
      </c>
      <c r="T194" s="18" t="s">
        <v>33</v>
      </c>
      <c r="U194" s="18" t="s">
        <v>33</v>
      </c>
      <c r="V194" s="18" t="s">
        <v>33</v>
      </c>
      <c r="W194" s="18" t="s">
        <v>33</v>
      </c>
      <c r="X194" s="18" t="s">
        <v>33</v>
      </c>
      <c r="Y194" s="18" t="s">
        <v>33</v>
      </c>
      <c r="Z194" s="18" t="s">
        <v>33</v>
      </c>
      <c r="AA194" s="18" t="s">
        <v>33</v>
      </c>
      <c r="AB194" s="18" t="s">
        <v>33</v>
      </c>
      <c r="AC194" s="18" t="s">
        <v>33</v>
      </c>
      <c r="AD194" s="18" t="s">
        <v>33</v>
      </c>
      <c r="AE194" s="18" t="s">
        <v>33</v>
      </c>
      <c r="AF194" s="55" t="s">
        <v>33</v>
      </c>
      <c r="AG194" s="90" t="s">
        <v>359</v>
      </c>
      <c r="AH194" s="133" t="s">
        <v>360</v>
      </c>
      <c r="AI194" s="73" t="s">
        <v>361</v>
      </c>
      <c r="AJ194" s="75" t="s">
        <v>362</v>
      </c>
      <c r="AK194" s="85" t="s">
        <v>363</v>
      </c>
      <c r="AL194" s="83" t="s">
        <v>364</v>
      </c>
      <c r="AM194" s="81" t="s">
        <v>365</v>
      </c>
      <c r="AN194" s="79" t="s">
        <v>366</v>
      </c>
      <c r="AO194" s="77" t="s">
        <v>367</v>
      </c>
    </row>
    <row r="195" spans="1:41">
      <c r="A195" s="117"/>
      <c r="B195" s="6" t="s">
        <v>222</v>
      </c>
      <c r="C195" s="9" t="s">
        <v>33</v>
      </c>
      <c r="D195" s="9" t="s">
        <v>33</v>
      </c>
      <c r="E195" s="9" t="s">
        <v>33</v>
      </c>
      <c r="F195" s="9" t="s">
        <v>33</v>
      </c>
      <c r="G195" s="9" t="s">
        <v>33</v>
      </c>
      <c r="H195" s="9" t="s">
        <v>33</v>
      </c>
      <c r="I195" s="9" t="s">
        <v>33</v>
      </c>
      <c r="J195" s="9" t="s">
        <v>33</v>
      </c>
      <c r="K195" s="9" t="s">
        <v>33</v>
      </c>
      <c r="L195" s="9" t="s">
        <v>33</v>
      </c>
      <c r="M195" s="9" t="s">
        <v>33</v>
      </c>
      <c r="N195" s="9" t="s">
        <v>33</v>
      </c>
      <c r="O195" s="9" t="s">
        <v>33</v>
      </c>
      <c r="P195" s="9" t="s">
        <v>33</v>
      </c>
      <c r="Q195" s="9" t="s">
        <v>33</v>
      </c>
      <c r="R195" s="9" t="s">
        <v>33</v>
      </c>
      <c r="S195" s="9" t="s">
        <v>33</v>
      </c>
      <c r="T195" s="9" t="s">
        <v>33</v>
      </c>
      <c r="U195" s="9" t="s">
        <v>33</v>
      </c>
      <c r="V195" s="9" t="s">
        <v>33</v>
      </c>
      <c r="W195" s="9" t="s">
        <v>33</v>
      </c>
      <c r="X195" s="9" t="s">
        <v>33</v>
      </c>
      <c r="Y195" s="9" t="s">
        <v>33</v>
      </c>
      <c r="Z195" s="9" t="s">
        <v>33</v>
      </c>
      <c r="AA195" s="9" t="s">
        <v>33</v>
      </c>
      <c r="AB195" s="9" t="s">
        <v>33</v>
      </c>
      <c r="AC195" s="9" t="s">
        <v>33</v>
      </c>
      <c r="AD195" s="9" t="s">
        <v>33</v>
      </c>
      <c r="AE195" s="9" t="s">
        <v>33</v>
      </c>
      <c r="AF195" s="56" t="s">
        <v>303</v>
      </c>
      <c r="AG195" s="90"/>
      <c r="AH195" s="134"/>
      <c r="AI195" s="74"/>
      <c r="AJ195" s="76"/>
      <c r="AK195" s="86"/>
      <c r="AL195" s="84"/>
      <c r="AM195" s="82"/>
      <c r="AN195" s="80"/>
      <c r="AO195" s="78"/>
    </row>
    <row r="196" spans="1:41">
      <c r="A196" s="117"/>
      <c r="B196" s="6" t="s">
        <v>43</v>
      </c>
      <c r="C196" s="9" t="s">
        <v>33</v>
      </c>
      <c r="D196" s="9" t="s">
        <v>33</v>
      </c>
      <c r="E196" s="9" t="s">
        <v>33</v>
      </c>
      <c r="F196" s="9" t="s">
        <v>33</v>
      </c>
      <c r="G196" s="9" t="s">
        <v>33</v>
      </c>
      <c r="H196" s="9" t="s">
        <v>33</v>
      </c>
      <c r="I196" s="9" t="s">
        <v>33</v>
      </c>
      <c r="J196" s="9" t="s">
        <v>33</v>
      </c>
      <c r="K196" s="9" t="s">
        <v>33</v>
      </c>
      <c r="L196" s="9" t="s">
        <v>33</v>
      </c>
      <c r="M196" s="9" t="s">
        <v>33</v>
      </c>
      <c r="N196" s="9" t="s">
        <v>33</v>
      </c>
      <c r="O196" s="9" t="s">
        <v>33</v>
      </c>
      <c r="P196" s="9" t="s">
        <v>33</v>
      </c>
      <c r="Q196" s="9" t="s">
        <v>33</v>
      </c>
      <c r="R196" s="9" t="s">
        <v>33</v>
      </c>
      <c r="S196" s="9" t="s">
        <v>33</v>
      </c>
      <c r="T196" s="9" t="s">
        <v>33</v>
      </c>
      <c r="U196" s="9" t="s">
        <v>33</v>
      </c>
      <c r="V196" s="9" t="s">
        <v>33</v>
      </c>
      <c r="W196" s="9" t="s">
        <v>33</v>
      </c>
      <c r="X196" s="9" t="s">
        <v>33</v>
      </c>
      <c r="Y196" s="9" t="s">
        <v>33</v>
      </c>
      <c r="Z196" s="9" t="s">
        <v>33</v>
      </c>
      <c r="AA196" s="9" t="s">
        <v>33</v>
      </c>
      <c r="AB196" s="9" t="s">
        <v>33</v>
      </c>
      <c r="AC196" s="9" t="s">
        <v>33</v>
      </c>
      <c r="AD196" s="9" t="s">
        <v>33</v>
      </c>
      <c r="AE196" s="9" t="s">
        <v>33</v>
      </c>
      <c r="AF196" s="56" t="s">
        <v>303</v>
      </c>
      <c r="AG196" s="90"/>
      <c r="AH196" s="134"/>
      <c r="AI196" s="74"/>
      <c r="AJ196" s="76"/>
      <c r="AK196" s="86"/>
      <c r="AL196" s="84"/>
      <c r="AM196" s="82"/>
      <c r="AN196" s="80"/>
      <c r="AO196" s="78"/>
    </row>
    <row r="197" spans="1:41">
      <c r="A197" s="117"/>
      <c r="B197" s="6" t="s">
        <v>204</v>
      </c>
      <c r="C197" s="9" t="s">
        <v>33</v>
      </c>
      <c r="D197" s="9" t="s">
        <v>33</v>
      </c>
      <c r="E197" s="9" t="s">
        <v>33</v>
      </c>
      <c r="F197" s="9" t="s">
        <v>33</v>
      </c>
      <c r="G197" s="9" t="s">
        <v>33</v>
      </c>
      <c r="H197" s="9" t="s">
        <v>33</v>
      </c>
      <c r="I197" s="9" t="s">
        <v>33</v>
      </c>
      <c r="J197" s="9" t="s">
        <v>33</v>
      </c>
      <c r="K197" s="9" t="s">
        <v>33</v>
      </c>
      <c r="L197" s="9" t="s">
        <v>33</v>
      </c>
      <c r="M197" s="9" t="s">
        <v>33</v>
      </c>
      <c r="N197" s="9" t="s">
        <v>33</v>
      </c>
      <c r="O197" s="9" t="s">
        <v>33</v>
      </c>
      <c r="P197" s="9" t="s">
        <v>33</v>
      </c>
      <c r="Q197" s="9" t="s">
        <v>33</v>
      </c>
      <c r="R197" s="9" t="s">
        <v>33</v>
      </c>
      <c r="S197" s="9" t="s">
        <v>33</v>
      </c>
      <c r="T197" s="9" t="s">
        <v>33</v>
      </c>
      <c r="U197" s="9" t="s">
        <v>33</v>
      </c>
      <c r="V197" s="9" t="s">
        <v>33</v>
      </c>
      <c r="W197" s="9" t="s">
        <v>33</v>
      </c>
      <c r="X197" s="9" t="s">
        <v>33</v>
      </c>
      <c r="Y197" s="9" t="s">
        <v>33</v>
      </c>
      <c r="Z197" s="9" t="s">
        <v>33</v>
      </c>
      <c r="AA197" s="9" t="s">
        <v>33</v>
      </c>
      <c r="AB197" s="9" t="s">
        <v>33</v>
      </c>
      <c r="AC197" s="9" t="s">
        <v>33</v>
      </c>
      <c r="AD197" s="9" t="s">
        <v>33</v>
      </c>
      <c r="AE197" s="9" t="s">
        <v>303</v>
      </c>
      <c r="AF197" s="56" t="s">
        <v>303</v>
      </c>
      <c r="AG197" s="90"/>
      <c r="AH197" s="134"/>
      <c r="AI197" s="74"/>
      <c r="AJ197" s="76"/>
      <c r="AK197" s="86"/>
      <c r="AL197" s="84"/>
      <c r="AM197" s="82"/>
      <c r="AN197" s="80"/>
      <c r="AO197" s="78"/>
    </row>
    <row r="198" spans="1:41">
      <c r="A198" s="117"/>
      <c r="B198" s="6" t="s">
        <v>205</v>
      </c>
      <c r="C198" s="9" t="s">
        <v>33</v>
      </c>
      <c r="D198" s="9" t="s">
        <v>33</v>
      </c>
      <c r="E198" s="9" t="s">
        <v>33</v>
      </c>
      <c r="F198" s="9" t="s">
        <v>33</v>
      </c>
      <c r="G198" s="9" t="s">
        <v>33</v>
      </c>
      <c r="H198" s="9" t="s">
        <v>33</v>
      </c>
      <c r="I198" s="9" t="s">
        <v>33</v>
      </c>
      <c r="J198" s="9" t="s">
        <v>33</v>
      </c>
      <c r="K198" s="9" t="s">
        <v>33</v>
      </c>
      <c r="L198" s="9" t="s">
        <v>33</v>
      </c>
      <c r="M198" s="9" t="s">
        <v>33</v>
      </c>
      <c r="N198" s="9" t="s">
        <v>33</v>
      </c>
      <c r="O198" s="9" t="s">
        <v>33</v>
      </c>
      <c r="P198" s="9" t="s">
        <v>33</v>
      </c>
      <c r="Q198" s="9" t="s">
        <v>33</v>
      </c>
      <c r="R198" s="9" t="s">
        <v>33</v>
      </c>
      <c r="S198" s="9" t="s">
        <v>33</v>
      </c>
      <c r="T198" s="9" t="s">
        <v>33</v>
      </c>
      <c r="U198" s="9" t="s">
        <v>33</v>
      </c>
      <c r="V198" s="9" t="s">
        <v>33</v>
      </c>
      <c r="W198" s="9" t="s">
        <v>33</v>
      </c>
      <c r="X198" s="9" t="s">
        <v>33</v>
      </c>
      <c r="Y198" s="9" t="s">
        <v>33</v>
      </c>
      <c r="Z198" s="9" t="s">
        <v>33</v>
      </c>
      <c r="AA198" s="9" t="s">
        <v>33</v>
      </c>
      <c r="AB198" s="9" t="s">
        <v>33</v>
      </c>
      <c r="AC198" s="9" t="s">
        <v>33</v>
      </c>
      <c r="AD198" s="9" t="s">
        <v>33</v>
      </c>
      <c r="AE198" s="9" t="s">
        <v>303</v>
      </c>
      <c r="AF198" s="56" t="s">
        <v>303</v>
      </c>
      <c r="AG198" s="90"/>
      <c r="AH198" s="134"/>
      <c r="AI198" s="74"/>
      <c r="AJ198" s="76"/>
      <c r="AK198" s="86"/>
      <c r="AL198" s="84"/>
      <c r="AM198" s="82"/>
      <c r="AN198" s="80"/>
      <c r="AO198" s="78"/>
    </row>
    <row r="199" spans="1:41">
      <c r="A199" s="117"/>
      <c r="B199" s="6" t="s">
        <v>223</v>
      </c>
      <c r="C199" s="9" t="s">
        <v>33</v>
      </c>
      <c r="D199" s="9" t="s">
        <v>33</v>
      </c>
      <c r="E199" s="9" t="s">
        <v>33</v>
      </c>
      <c r="F199" s="9" t="s">
        <v>33</v>
      </c>
      <c r="G199" s="9" t="s">
        <v>33</v>
      </c>
      <c r="H199" s="9" t="s">
        <v>33</v>
      </c>
      <c r="I199" s="9" t="s">
        <v>33</v>
      </c>
      <c r="J199" s="9" t="s">
        <v>33</v>
      </c>
      <c r="K199" s="9" t="s">
        <v>33</v>
      </c>
      <c r="L199" s="9" t="s">
        <v>33</v>
      </c>
      <c r="M199" s="9" t="s">
        <v>33</v>
      </c>
      <c r="N199" s="9" t="s">
        <v>33</v>
      </c>
      <c r="O199" s="9" t="s">
        <v>33</v>
      </c>
      <c r="P199" s="9" t="s">
        <v>33</v>
      </c>
      <c r="Q199" s="9" t="s">
        <v>33</v>
      </c>
      <c r="R199" s="9" t="s">
        <v>33</v>
      </c>
      <c r="S199" s="9" t="s">
        <v>33</v>
      </c>
      <c r="T199" s="9" t="s">
        <v>33</v>
      </c>
      <c r="U199" s="9" t="s">
        <v>303</v>
      </c>
      <c r="V199" s="9" t="s">
        <v>33</v>
      </c>
      <c r="W199" s="9" t="s">
        <v>303</v>
      </c>
      <c r="X199" s="9" t="s">
        <v>33</v>
      </c>
      <c r="Y199" s="9" t="s">
        <v>33</v>
      </c>
      <c r="Z199" s="9" t="s">
        <v>303</v>
      </c>
      <c r="AA199" s="9" t="s">
        <v>303</v>
      </c>
      <c r="AB199" s="9" t="s">
        <v>33</v>
      </c>
      <c r="AC199" s="9" t="s">
        <v>303</v>
      </c>
      <c r="AD199" s="9" t="s">
        <v>303</v>
      </c>
      <c r="AE199" s="9" t="s">
        <v>303</v>
      </c>
      <c r="AF199" s="56" t="s">
        <v>303</v>
      </c>
      <c r="AG199" s="135"/>
      <c r="AH199" s="134"/>
      <c r="AI199" s="74"/>
      <c r="AJ199" s="76"/>
      <c r="AK199" s="86"/>
      <c r="AL199" s="84"/>
      <c r="AM199" s="82"/>
      <c r="AN199" s="80"/>
      <c r="AO199" s="78"/>
    </row>
    <row r="200" spans="1:41">
      <c r="A200" s="117"/>
      <c r="B200" s="6" t="s">
        <v>224</v>
      </c>
      <c r="C200" s="9" t="s">
        <v>33</v>
      </c>
      <c r="D200" s="9" t="s">
        <v>33</v>
      </c>
      <c r="E200" s="9" t="s">
        <v>33</v>
      </c>
      <c r="F200" s="9" t="s">
        <v>33</v>
      </c>
      <c r="G200" s="9" t="s">
        <v>33</v>
      </c>
      <c r="H200" s="9" t="s">
        <v>33</v>
      </c>
      <c r="I200" s="9" t="s">
        <v>33</v>
      </c>
      <c r="J200" s="9" t="s">
        <v>33</v>
      </c>
      <c r="K200" s="9" t="s">
        <v>33</v>
      </c>
      <c r="L200" s="9" t="s">
        <v>33</v>
      </c>
      <c r="M200" s="9" t="s">
        <v>33</v>
      </c>
      <c r="N200" s="9" t="s">
        <v>33</v>
      </c>
      <c r="O200" s="9" t="s">
        <v>33</v>
      </c>
      <c r="P200" s="9" t="s">
        <v>33</v>
      </c>
      <c r="Q200" s="9" t="s">
        <v>33</v>
      </c>
      <c r="R200" s="9" t="s">
        <v>33</v>
      </c>
      <c r="S200" s="9" t="s">
        <v>33</v>
      </c>
      <c r="T200" s="9" t="s">
        <v>33</v>
      </c>
      <c r="U200" s="9" t="s">
        <v>303</v>
      </c>
      <c r="V200" s="9" t="s">
        <v>33</v>
      </c>
      <c r="W200" s="9" t="s">
        <v>303</v>
      </c>
      <c r="X200" s="9" t="s">
        <v>33</v>
      </c>
      <c r="Y200" s="9" t="s">
        <v>33</v>
      </c>
      <c r="Z200" s="9" t="s">
        <v>303</v>
      </c>
      <c r="AA200" s="9" t="s">
        <v>303</v>
      </c>
      <c r="AB200" s="9" t="s">
        <v>33</v>
      </c>
      <c r="AC200" s="9" t="s">
        <v>303</v>
      </c>
      <c r="AD200" s="9" t="s">
        <v>303</v>
      </c>
      <c r="AE200" s="9" t="s">
        <v>303</v>
      </c>
      <c r="AF200" s="56" t="s">
        <v>34</v>
      </c>
      <c r="AG200" s="135"/>
      <c r="AH200" s="134"/>
      <c r="AI200" s="74"/>
      <c r="AJ200" s="76"/>
      <c r="AK200" s="86"/>
      <c r="AL200" s="84"/>
      <c r="AM200" s="82"/>
      <c r="AN200" s="80"/>
      <c r="AO200" s="78"/>
    </row>
    <row r="201" spans="1:41">
      <c r="A201" s="117"/>
      <c r="B201" s="6" t="s">
        <v>225</v>
      </c>
      <c r="C201" s="9" t="s">
        <v>33</v>
      </c>
      <c r="D201" s="9" t="s">
        <v>33</v>
      </c>
      <c r="E201" s="9" t="s">
        <v>33</v>
      </c>
      <c r="F201" s="9" t="s">
        <v>33</v>
      </c>
      <c r="G201" s="9" t="s">
        <v>33</v>
      </c>
      <c r="H201" s="9" t="s">
        <v>33</v>
      </c>
      <c r="I201" s="9" t="s">
        <v>33</v>
      </c>
      <c r="J201" s="9" t="s">
        <v>33</v>
      </c>
      <c r="K201" s="9" t="s">
        <v>33</v>
      </c>
      <c r="L201" s="9" t="s">
        <v>303</v>
      </c>
      <c r="M201" s="9" t="s">
        <v>33</v>
      </c>
      <c r="N201" s="9" t="s">
        <v>33</v>
      </c>
      <c r="O201" s="9" t="s">
        <v>33</v>
      </c>
      <c r="P201" s="9" t="s">
        <v>33</v>
      </c>
      <c r="Q201" s="9" t="s">
        <v>33</v>
      </c>
      <c r="R201" s="9" t="s">
        <v>303</v>
      </c>
      <c r="S201" s="9" t="s">
        <v>303</v>
      </c>
      <c r="T201" s="9" t="s">
        <v>303</v>
      </c>
      <c r="U201" s="9" t="s">
        <v>303</v>
      </c>
      <c r="V201" s="9" t="s">
        <v>303</v>
      </c>
      <c r="W201" s="9" t="s">
        <v>303</v>
      </c>
      <c r="X201" s="9" t="s">
        <v>303</v>
      </c>
      <c r="Y201" s="9" t="s">
        <v>303</v>
      </c>
      <c r="Z201" s="9" t="s">
        <v>303</v>
      </c>
      <c r="AA201" s="9" t="s">
        <v>303</v>
      </c>
      <c r="AB201" s="9" t="s">
        <v>303</v>
      </c>
      <c r="AC201" s="9" t="s">
        <v>303</v>
      </c>
      <c r="AD201" s="9" t="s">
        <v>303</v>
      </c>
      <c r="AE201" s="9" t="s">
        <v>34</v>
      </c>
      <c r="AF201" s="56" t="s">
        <v>34</v>
      </c>
      <c r="AG201" s="135"/>
      <c r="AH201" s="49"/>
      <c r="AI201" s="74"/>
      <c r="AJ201" s="76"/>
      <c r="AK201" s="86"/>
      <c r="AL201" s="84"/>
      <c r="AM201" s="82"/>
      <c r="AN201" s="80"/>
      <c r="AO201" s="78"/>
    </row>
    <row r="202" spans="1:41">
      <c r="A202" s="117"/>
      <c r="B202" s="6" t="s">
        <v>226</v>
      </c>
      <c r="C202" s="9" t="s">
        <v>33</v>
      </c>
      <c r="D202" s="9" t="s">
        <v>33</v>
      </c>
      <c r="E202" s="9" t="s">
        <v>33</v>
      </c>
      <c r="F202" s="9" t="s">
        <v>33</v>
      </c>
      <c r="G202" s="9" t="s">
        <v>33</v>
      </c>
      <c r="H202" s="9" t="s">
        <v>33</v>
      </c>
      <c r="I202" s="9" t="s">
        <v>33</v>
      </c>
      <c r="J202" s="9" t="s">
        <v>33</v>
      </c>
      <c r="K202" s="9" t="s">
        <v>33</v>
      </c>
      <c r="L202" s="9" t="s">
        <v>33</v>
      </c>
      <c r="M202" s="9" t="s">
        <v>33</v>
      </c>
      <c r="N202" s="9" t="s">
        <v>33</v>
      </c>
      <c r="O202" s="9" t="s">
        <v>33</v>
      </c>
      <c r="P202" s="9" t="s">
        <v>303</v>
      </c>
      <c r="Q202" s="9" t="s">
        <v>33</v>
      </c>
      <c r="R202" s="9" t="s">
        <v>303</v>
      </c>
      <c r="S202" s="9" t="s">
        <v>33</v>
      </c>
      <c r="T202" s="9" t="s">
        <v>33</v>
      </c>
      <c r="U202" s="9" t="s">
        <v>303</v>
      </c>
      <c r="V202" s="9" t="s">
        <v>33</v>
      </c>
      <c r="W202" s="9" t="s">
        <v>303</v>
      </c>
      <c r="X202" s="9" t="s">
        <v>303</v>
      </c>
      <c r="Y202" s="9" t="s">
        <v>303</v>
      </c>
      <c r="Z202" s="9" t="s">
        <v>303</v>
      </c>
      <c r="AA202" s="9" t="s">
        <v>303</v>
      </c>
      <c r="AB202" s="9" t="s">
        <v>303</v>
      </c>
      <c r="AC202" s="9" t="s">
        <v>303</v>
      </c>
      <c r="AD202" s="9" t="s">
        <v>34</v>
      </c>
      <c r="AE202" s="9" t="s">
        <v>34</v>
      </c>
      <c r="AF202" s="56" t="s">
        <v>34</v>
      </c>
      <c r="AG202" s="135"/>
      <c r="AH202" s="49"/>
      <c r="AI202" s="74"/>
      <c r="AJ202" s="76"/>
      <c r="AK202" s="86"/>
      <c r="AL202" s="84"/>
      <c r="AM202" s="82"/>
      <c r="AN202" s="80"/>
      <c r="AO202" s="78"/>
    </row>
    <row r="203" spans="1:41">
      <c r="A203" s="117"/>
      <c r="B203" s="6" t="s">
        <v>227</v>
      </c>
      <c r="C203" s="9" t="s">
        <v>33</v>
      </c>
      <c r="D203" s="9" t="s">
        <v>33</v>
      </c>
      <c r="E203" s="9" t="s">
        <v>33</v>
      </c>
      <c r="F203" s="9" t="s">
        <v>33</v>
      </c>
      <c r="G203" s="9" t="s">
        <v>33</v>
      </c>
      <c r="H203" s="9" t="s">
        <v>33</v>
      </c>
      <c r="I203" s="9" t="s">
        <v>33</v>
      </c>
      <c r="J203" s="9" t="s">
        <v>33</v>
      </c>
      <c r="K203" s="9" t="s">
        <v>33</v>
      </c>
      <c r="L203" s="9" t="s">
        <v>303</v>
      </c>
      <c r="M203" s="9" t="s">
        <v>303</v>
      </c>
      <c r="N203" s="9" t="s">
        <v>303</v>
      </c>
      <c r="O203" s="9" t="s">
        <v>303</v>
      </c>
      <c r="P203" s="9" t="s">
        <v>303</v>
      </c>
      <c r="Q203" s="9" t="s">
        <v>33</v>
      </c>
      <c r="R203" s="9" t="s">
        <v>303</v>
      </c>
      <c r="S203" s="9" t="s">
        <v>303</v>
      </c>
      <c r="T203" s="9" t="s">
        <v>303</v>
      </c>
      <c r="U203" s="9" t="s">
        <v>303</v>
      </c>
      <c r="V203" s="9" t="s">
        <v>303</v>
      </c>
      <c r="W203" s="9" t="s">
        <v>303</v>
      </c>
      <c r="X203" s="9" t="s">
        <v>303</v>
      </c>
      <c r="Y203" s="9" t="s">
        <v>303</v>
      </c>
      <c r="Z203" s="9" t="s">
        <v>303</v>
      </c>
      <c r="AA203" s="9" t="s">
        <v>303</v>
      </c>
      <c r="AB203" s="9" t="s">
        <v>303</v>
      </c>
      <c r="AC203" s="9" t="s">
        <v>303</v>
      </c>
      <c r="AD203" s="9" t="s">
        <v>34</v>
      </c>
      <c r="AE203" s="9" t="s">
        <v>34</v>
      </c>
      <c r="AF203" s="56" t="s">
        <v>34</v>
      </c>
      <c r="AG203" s="135"/>
      <c r="AH203" s="49"/>
      <c r="AI203" s="74"/>
      <c r="AJ203" s="76"/>
      <c r="AK203" s="86"/>
      <c r="AL203" s="84"/>
      <c r="AM203" s="82"/>
      <c r="AN203" s="80"/>
      <c r="AO203" s="78"/>
    </row>
    <row r="204" spans="1:41">
      <c r="A204" s="117"/>
      <c r="B204" s="6" t="s">
        <v>228</v>
      </c>
      <c r="C204" s="9" t="s">
        <v>33</v>
      </c>
      <c r="D204" s="9" t="s">
        <v>33</v>
      </c>
      <c r="E204" s="9" t="s">
        <v>33</v>
      </c>
      <c r="F204" s="9" t="s">
        <v>33</v>
      </c>
      <c r="G204" s="9" t="s">
        <v>33</v>
      </c>
      <c r="H204" s="9" t="s">
        <v>33</v>
      </c>
      <c r="I204" s="9" t="s">
        <v>33</v>
      </c>
      <c r="J204" s="9" t="s">
        <v>33</v>
      </c>
      <c r="K204" s="9" t="s">
        <v>33</v>
      </c>
      <c r="L204" s="9" t="s">
        <v>303</v>
      </c>
      <c r="M204" s="9" t="s">
        <v>33</v>
      </c>
      <c r="N204" s="9" t="s">
        <v>33</v>
      </c>
      <c r="O204" s="9" t="s">
        <v>303</v>
      </c>
      <c r="P204" s="9" t="s">
        <v>303</v>
      </c>
      <c r="Q204" s="9" t="s">
        <v>33</v>
      </c>
      <c r="R204" s="9" t="s">
        <v>34</v>
      </c>
      <c r="S204" s="9" t="s">
        <v>34</v>
      </c>
      <c r="T204" s="9" t="s">
        <v>34</v>
      </c>
      <c r="U204" s="9" t="s">
        <v>34</v>
      </c>
      <c r="V204" s="9" t="s">
        <v>34</v>
      </c>
      <c r="W204" s="9" t="s">
        <v>34</v>
      </c>
      <c r="X204" s="9" t="s">
        <v>34</v>
      </c>
      <c r="Y204" s="9" t="s">
        <v>34</v>
      </c>
      <c r="Z204" s="9" t="s">
        <v>34</v>
      </c>
      <c r="AA204" s="9" t="s">
        <v>34</v>
      </c>
      <c r="AB204" s="9" t="s">
        <v>34</v>
      </c>
      <c r="AC204" s="9" t="s">
        <v>34</v>
      </c>
      <c r="AD204" s="9" t="s">
        <v>34</v>
      </c>
      <c r="AE204" s="9" t="s">
        <v>34</v>
      </c>
      <c r="AF204" s="56" t="s">
        <v>34</v>
      </c>
      <c r="AG204" s="135"/>
      <c r="AH204" s="49"/>
      <c r="AI204" s="49"/>
      <c r="AJ204" s="76"/>
      <c r="AK204" s="86"/>
      <c r="AL204" s="84"/>
      <c r="AM204" s="82"/>
      <c r="AN204" s="80"/>
      <c r="AO204" s="78"/>
    </row>
    <row r="205" spans="1:41">
      <c r="A205" s="117"/>
      <c r="B205" s="6" t="s">
        <v>229</v>
      </c>
      <c r="C205" s="9" t="s">
        <v>33</v>
      </c>
      <c r="D205" s="9" t="s">
        <v>303</v>
      </c>
      <c r="E205" s="9" t="s">
        <v>303</v>
      </c>
      <c r="F205" s="9" t="s">
        <v>303</v>
      </c>
      <c r="G205" s="9" t="s">
        <v>303</v>
      </c>
      <c r="H205" s="9" t="s">
        <v>303</v>
      </c>
      <c r="I205" s="9" t="s">
        <v>303</v>
      </c>
      <c r="J205" s="9" t="s">
        <v>303</v>
      </c>
      <c r="K205" s="9" t="s">
        <v>303</v>
      </c>
      <c r="L205" s="9" t="s">
        <v>303</v>
      </c>
      <c r="M205" s="9" t="s">
        <v>303</v>
      </c>
      <c r="N205" s="9" t="s">
        <v>303</v>
      </c>
      <c r="O205" s="9" t="s">
        <v>303</v>
      </c>
      <c r="P205" s="9" t="s">
        <v>303</v>
      </c>
      <c r="Q205" s="9" t="s">
        <v>303</v>
      </c>
      <c r="R205" s="9" t="s">
        <v>34</v>
      </c>
      <c r="S205" s="9" t="s">
        <v>34</v>
      </c>
      <c r="T205" s="9" t="s">
        <v>34</v>
      </c>
      <c r="U205" s="9" t="s">
        <v>34</v>
      </c>
      <c r="V205" s="9" t="s">
        <v>34</v>
      </c>
      <c r="W205" s="9" t="s">
        <v>34</v>
      </c>
      <c r="X205" s="9" t="s">
        <v>34</v>
      </c>
      <c r="Y205" s="9" t="s">
        <v>34</v>
      </c>
      <c r="Z205" s="9" t="s">
        <v>34</v>
      </c>
      <c r="AA205" s="9" t="s">
        <v>34</v>
      </c>
      <c r="AB205" s="9" t="s">
        <v>34</v>
      </c>
      <c r="AC205" s="9" t="s">
        <v>34</v>
      </c>
      <c r="AD205" s="9" t="s">
        <v>34</v>
      </c>
      <c r="AE205" s="9" t="s">
        <v>34</v>
      </c>
      <c r="AF205" s="56" t="s">
        <v>34</v>
      </c>
      <c r="AG205" s="135"/>
      <c r="AH205" s="49"/>
      <c r="AI205" s="49"/>
      <c r="AJ205" s="76"/>
      <c r="AK205" s="86"/>
      <c r="AL205" s="84"/>
      <c r="AM205" s="82"/>
      <c r="AN205" s="80"/>
      <c r="AO205" s="78"/>
    </row>
    <row r="206" spans="1:41">
      <c r="A206" s="117"/>
      <c r="B206" s="6" t="s">
        <v>230</v>
      </c>
      <c r="C206" s="9" t="s">
        <v>33</v>
      </c>
      <c r="D206" s="9" t="s">
        <v>33</v>
      </c>
      <c r="E206" s="9" t="s">
        <v>33</v>
      </c>
      <c r="F206" s="9" t="s">
        <v>33</v>
      </c>
      <c r="G206" s="9" t="s">
        <v>33</v>
      </c>
      <c r="H206" s="9" t="s">
        <v>299</v>
      </c>
      <c r="I206" s="9" t="s">
        <v>33</v>
      </c>
      <c r="J206" s="9" t="s">
        <v>33</v>
      </c>
      <c r="K206" s="9" t="s">
        <v>303</v>
      </c>
      <c r="L206" s="9" t="s">
        <v>33</v>
      </c>
      <c r="M206" s="9" t="s">
        <v>34</v>
      </c>
      <c r="N206" s="9" t="s">
        <v>33</v>
      </c>
      <c r="O206" s="9" t="s">
        <v>34</v>
      </c>
      <c r="P206" s="9" t="s">
        <v>303</v>
      </c>
      <c r="Q206" s="9" t="s">
        <v>303</v>
      </c>
      <c r="R206" s="9" t="s">
        <v>34</v>
      </c>
      <c r="S206" s="9" t="s">
        <v>34</v>
      </c>
      <c r="T206" s="9" t="s">
        <v>34</v>
      </c>
      <c r="U206" s="9" t="s">
        <v>34</v>
      </c>
      <c r="V206" s="9" t="s">
        <v>34</v>
      </c>
      <c r="W206" s="9" t="s">
        <v>34</v>
      </c>
      <c r="X206" s="9" t="s">
        <v>34</v>
      </c>
      <c r="Y206" s="9" t="s">
        <v>34</v>
      </c>
      <c r="Z206" s="9" t="s">
        <v>34</v>
      </c>
      <c r="AA206" s="9" t="s">
        <v>34</v>
      </c>
      <c r="AB206" s="9" t="s">
        <v>34</v>
      </c>
      <c r="AC206" s="9" t="s">
        <v>34</v>
      </c>
      <c r="AD206" s="9" t="s">
        <v>34</v>
      </c>
      <c r="AE206" s="9" t="s">
        <v>34</v>
      </c>
      <c r="AF206" s="56" t="s">
        <v>34</v>
      </c>
      <c r="AG206" s="135"/>
      <c r="AH206" s="49"/>
      <c r="AI206" s="49"/>
      <c r="AJ206" s="76"/>
      <c r="AK206" s="86"/>
      <c r="AL206" s="84"/>
      <c r="AM206" s="82"/>
      <c r="AN206" s="80"/>
      <c r="AO206" s="78"/>
    </row>
    <row r="207" spans="1:41">
      <c r="A207" s="117"/>
      <c r="B207" s="6" t="s">
        <v>231</v>
      </c>
      <c r="C207" s="9" t="s">
        <v>33</v>
      </c>
      <c r="D207" s="9" t="s">
        <v>33</v>
      </c>
      <c r="E207" s="9" t="s">
        <v>299</v>
      </c>
      <c r="F207" s="9" t="s">
        <v>299</v>
      </c>
      <c r="G207" s="9" t="s">
        <v>33</v>
      </c>
      <c r="H207" s="9" t="s">
        <v>299</v>
      </c>
      <c r="I207" s="9" t="s">
        <v>299</v>
      </c>
      <c r="J207" s="9" t="s">
        <v>299</v>
      </c>
      <c r="K207" s="9" t="s">
        <v>299</v>
      </c>
      <c r="L207" s="9" t="s">
        <v>299</v>
      </c>
      <c r="M207" s="9" t="s">
        <v>33</v>
      </c>
      <c r="N207" s="9" t="s">
        <v>34</v>
      </c>
      <c r="O207" s="9" t="s">
        <v>303</v>
      </c>
      <c r="P207" s="9" t="s">
        <v>34</v>
      </c>
      <c r="Q207" s="9" t="s">
        <v>34</v>
      </c>
      <c r="R207" s="9" t="s">
        <v>34</v>
      </c>
      <c r="S207" s="9" t="s">
        <v>34</v>
      </c>
      <c r="T207" s="9" t="s">
        <v>34</v>
      </c>
      <c r="U207" s="9" t="s">
        <v>34</v>
      </c>
      <c r="V207" s="9" t="s">
        <v>34</v>
      </c>
      <c r="W207" s="9" t="s">
        <v>34</v>
      </c>
      <c r="X207" s="9" t="s">
        <v>34</v>
      </c>
      <c r="Y207" s="9" t="s">
        <v>34</v>
      </c>
      <c r="Z207" s="9" t="s">
        <v>34</v>
      </c>
      <c r="AA207" s="9" t="s">
        <v>34</v>
      </c>
      <c r="AB207" s="9" t="s">
        <v>34</v>
      </c>
      <c r="AC207" s="9" t="s">
        <v>34</v>
      </c>
      <c r="AD207" s="9" t="s">
        <v>34</v>
      </c>
      <c r="AE207" s="9" t="s">
        <v>34</v>
      </c>
      <c r="AF207" s="56" t="s">
        <v>34</v>
      </c>
      <c r="AG207" s="135"/>
      <c r="AH207" s="49"/>
      <c r="AI207" s="49"/>
      <c r="AJ207" s="76"/>
      <c r="AK207" s="86"/>
      <c r="AL207" s="84"/>
      <c r="AM207" s="82"/>
      <c r="AN207" s="80"/>
      <c r="AO207" s="78"/>
    </row>
    <row r="208" spans="1:41">
      <c r="A208" s="117"/>
      <c r="B208" s="6" t="s">
        <v>357</v>
      </c>
      <c r="C208" s="9" t="s">
        <v>33</v>
      </c>
      <c r="D208" s="9" t="s">
        <v>33</v>
      </c>
      <c r="E208" s="9" t="s">
        <v>33</v>
      </c>
      <c r="F208" s="9" t="s">
        <v>33</v>
      </c>
      <c r="G208" s="9" t="s">
        <v>33</v>
      </c>
      <c r="H208" s="9" t="s">
        <v>303</v>
      </c>
      <c r="I208" s="9" t="s">
        <v>303</v>
      </c>
      <c r="J208" s="9" t="s">
        <v>303</v>
      </c>
      <c r="K208" s="9" t="s">
        <v>303</v>
      </c>
      <c r="L208" s="9" t="s">
        <v>303</v>
      </c>
      <c r="M208" s="9" t="s">
        <v>303</v>
      </c>
      <c r="N208" s="9" t="s">
        <v>303</v>
      </c>
      <c r="O208" s="9" t="s">
        <v>303</v>
      </c>
      <c r="P208" s="9" t="s">
        <v>303</v>
      </c>
      <c r="Q208" s="9" t="s">
        <v>34</v>
      </c>
      <c r="R208" s="9" t="s">
        <v>34</v>
      </c>
      <c r="S208" s="9" t="s">
        <v>34</v>
      </c>
      <c r="T208" s="9" t="s">
        <v>34</v>
      </c>
      <c r="U208" s="9" t="s">
        <v>34</v>
      </c>
      <c r="V208" s="9" t="s">
        <v>34</v>
      </c>
      <c r="W208" s="9" t="s">
        <v>34</v>
      </c>
      <c r="X208" s="9" t="s">
        <v>34</v>
      </c>
      <c r="Y208" s="9" t="s">
        <v>34</v>
      </c>
      <c r="Z208" s="9" t="s">
        <v>34</v>
      </c>
      <c r="AA208" s="9" t="s">
        <v>34</v>
      </c>
      <c r="AB208" s="9" t="s">
        <v>34</v>
      </c>
      <c r="AC208" s="9" t="s">
        <v>34</v>
      </c>
      <c r="AD208" s="9" t="s">
        <v>34</v>
      </c>
      <c r="AE208" s="9" t="s">
        <v>34</v>
      </c>
      <c r="AF208" s="56" t="s">
        <v>34</v>
      </c>
      <c r="AG208" s="135"/>
      <c r="AH208" s="50"/>
      <c r="AI208" s="49"/>
      <c r="AJ208" s="49"/>
      <c r="AK208" s="86"/>
      <c r="AL208" s="84"/>
      <c r="AM208" s="82"/>
      <c r="AN208" s="80"/>
      <c r="AO208" s="78"/>
    </row>
    <row r="209" spans="1:41">
      <c r="A209" s="117"/>
      <c r="B209" s="6" t="s">
        <v>232</v>
      </c>
      <c r="C209" s="9" t="s">
        <v>33</v>
      </c>
      <c r="D209" s="9" t="s">
        <v>303</v>
      </c>
      <c r="E209" s="9" t="s">
        <v>303</v>
      </c>
      <c r="F209" s="9" t="s">
        <v>303</v>
      </c>
      <c r="G209" s="9" t="s">
        <v>303</v>
      </c>
      <c r="H209" s="9" t="s">
        <v>303</v>
      </c>
      <c r="I209" s="9" t="s">
        <v>33</v>
      </c>
      <c r="J209" s="9" t="s">
        <v>303</v>
      </c>
      <c r="K209" s="9" t="s">
        <v>303</v>
      </c>
      <c r="L209" s="9" t="s">
        <v>303</v>
      </c>
      <c r="M209" s="9" t="s">
        <v>303</v>
      </c>
      <c r="N209" s="9" t="s">
        <v>303</v>
      </c>
      <c r="O209" s="9" t="s">
        <v>303</v>
      </c>
      <c r="P209" s="9" t="s">
        <v>303</v>
      </c>
      <c r="Q209" s="9" t="s">
        <v>303</v>
      </c>
      <c r="R209" s="9" t="s">
        <v>34</v>
      </c>
      <c r="S209" s="9" t="s">
        <v>34</v>
      </c>
      <c r="T209" s="9" t="s">
        <v>34</v>
      </c>
      <c r="U209" s="9" t="s">
        <v>34</v>
      </c>
      <c r="V209" s="9" t="s">
        <v>34</v>
      </c>
      <c r="W209" s="9" t="s">
        <v>34</v>
      </c>
      <c r="X209" s="9" t="s">
        <v>34</v>
      </c>
      <c r="Y209" s="9" t="s">
        <v>34</v>
      </c>
      <c r="Z209" s="9" t="s">
        <v>34</v>
      </c>
      <c r="AA209" s="9" t="s">
        <v>34</v>
      </c>
      <c r="AB209" s="9" t="s">
        <v>34</v>
      </c>
      <c r="AC209" s="9" t="s">
        <v>34</v>
      </c>
      <c r="AD209" s="9" t="s">
        <v>34</v>
      </c>
      <c r="AE209" s="9" t="s">
        <v>34</v>
      </c>
      <c r="AF209" s="56" t="s">
        <v>34</v>
      </c>
      <c r="AG209" s="135"/>
      <c r="AL209" s="84"/>
      <c r="AM209" s="82"/>
      <c r="AN209" s="80"/>
      <c r="AO209" s="78"/>
    </row>
    <row r="210" spans="1:41">
      <c r="A210" s="117"/>
      <c r="B210" s="6" t="s">
        <v>233</v>
      </c>
      <c r="C210" s="9" t="s">
        <v>303</v>
      </c>
      <c r="D210" s="9" t="s">
        <v>303</v>
      </c>
      <c r="E210" s="9" t="s">
        <v>303</v>
      </c>
      <c r="F210" s="9" t="s">
        <v>303</v>
      </c>
      <c r="G210" s="9" t="s">
        <v>303</v>
      </c>
      <c r="H210" s="9" t="s">
        <v>303</v>
      </c>
      <c r="I210" s="9" t="s">
        <v>303</v>
      </c>
      <c r="J210" s="9" t="s">
        <v>34</v>
      </c>
      <c r="K210" s="9" t="s">
        <v>34</v>
      </c>
      <c r="L210" s="9" t="s">
        <v>34</v>
      </c>
      <c r="M210" s="9" t="s">
        <v>34</v>
      </c>
      <c r="N210" s="9" t="s">
        <v>34</v>
      </c>
      <c r="O210" s="9" t="s">
        <v>34</v>
      </c>
      <c r="P210" s="9" t="s">
        <v>34</v>
      </c>
      <c r="Q210" s="9" t="s">
        <v>34</v>
      </c>
      <c r="R210" s="9" t="s">
        <v>34</v>
      </c>
      <c r="S210" s="9" t="s">
        <v>34</v>
      </c>
      <c r="T210" s="9" t="s">
        <v>34</v>
      </c>
      <c r="U210" s="9" t="s">
        <v>34</v>
      </c>
      <c r="V210" s="9" t="s">
        <v>34</v>
      </c>
      <c r="W210" s="9" t="s">
        <v>34</v>
      </c>
      <c r="X210" s="9" t="s">
        <v>34</v>
      </c>
      <c r="Y210" s="9" t="s">
        <v>34</v>
      </c>
      <c r="Z210" s="9" t="s">
        <v>34</v>
      </c>
      <c r="AA210" s="9" t="s">
        <v>34</v>
      </c>
      <c r="AB210" s="9" t="s">
        <v>34</v>
      </c>
      <c r="AC210" s="9" t="s">
        <v>34</v>
      </c>
      <c r="AD210" s="9" t="s">
        <v>34</v>
      </c>
      <c r="AE210" s="9" t="s">
        <v>34</v>
      </c>
      <c r="AF210" s="56" t="s">
        <v>34</v>
      </c>
      <c r="AG210" s="135"/>
      <c r="AM210" s="82"/>
      <c r="AN210" s="80"/>
      <c r="AO210" s="78"/>
    </row>
    <row r="211" spans="1:41">
      <c r="A211" s="117"/>
      <c r="B211" s="6" t="s">
        <v>234</v>
      </c>
      <c r="C211" s="9" t="s">
        <v>33</v>
      </c>
      <c r="D211" s="9" t="s">
        <v>33</v>
      </c>
      <c r="E211" s="9" t="s">
        <v>34</v>
      </c>
      <c r="F211" s="9" t="s">
        <v>34</v>
      </c>
      <c r="G211" s="9" t="s">
        <v>303</v>
      </c>
      <c r="H211" s="9" t="s">
        <v>34</v>
      </c>
      <c r="I211" s="9" t="s">
        <v>34</v>
      </c>
      <c r="J211" s="9" t="s">
        <v>303</v>
      </c>
      <c r="K211" s="9" t="s">
        <v>303</v>
      </c>
      <c r="L211" s="9" t="s">
        <v>34</v>
      </c>
      <c r="M211" s="9" t="s">
        <v>34</v>
      </c>
      <c r="N211" s="9" t="s">
        <v>34</v>
      </c>
      <c r="O211" s="9" t="s">
        <v>34</v>
      </c>
      <c r="P211" s="9" t="s">
        <v>34</v>
      </c>
      <c r="Q211" s="9" t="s">
        <v>34</v>
      </c>
      <c r="R211" s="9" t="s">
        <v>34</v>
      </c>
      <c r="S211" s="9" t="s">
        <v>34</v>
      </c>
      <c r="T211" s="9" t="s">
        <v>34</v>
      </c>
      <c r="U211" s="9" t="s">
        <v>34</v>
      </c>
      <c r="V211" s="9" t="s">
        <v>34</v>
      </c>
      <c r="W211" s="9" t="s">
        <v>34</v>
      </c>
      <c r="X211" s="9" t="s">
        <v>34</v>
      </c>
      <c r="Y211" s="9" t="s">
        <v>34</v>
      </c>
      <c r="Z211" s="9" t="s">
        <v>34</v>
      </c>
      <c r="AA211" s="9" t="s">
        <v>34</v>
      </c>
      <c r="AB211" s="9" t="s">
        <v>34</v>
      </c>
      <c r="AC211" s="9" t="s">
        <v>34</v>
      </c>
      <c r="AD211" s="9" t="s">
        <v>34</v>
      </c>
      <c r="AE211" s="9" t="s">
        <v>34</v>
      </c>
      <c r="AF211" s="56" t="s">
        <v>34</v>
      </c>
      <c r="AG211" s="135"/>
      <c r="AM211" s="82"/>
      <c r="AN211" s="80"/>
      <c r="AO211" s="78"/>
    </row>
    <row r="212" spans="1:41">
      <c r="A212" s="117"/>
      <c r="B212" s="6" t="s">
        <v>235</v>
      </c>
      <c r="C212" s="9" t="s">
        <v>33</v>
      </c>
      <c r="D212" s="9" t="s">
        <v>33</v>
      </c>
      <c r="E212" s="9" t="s">
        <v>34</v>
      </c>
      <c r="F212" s="9" t="s">
        <v>303</v>
      </c>
      <c r="G212" s="9" t="s">
        <v>303</v>
      </c>
      <c r="H212" s="9" t="s">
        <v>303</v>
      </c>
      <c r="I212" s="9" t="s">
        <v>34</v>
      </c>
      <c r="J212" s="9" t="s">
        <v>34</v>
      </c>
      <c r="K212" s="9" t="s">
        <v>303</v>
      </c>
      <c r="L212" s="9" t="s">
        <v>34</v>
      </c>
      <c r="M212" s="9" t="s">
        <v>34</v>
      </c>
      <c r="N212" s="9" t="s">
        <v>34</v>
      </c>
      <c r="O212" s="9" t="s">
        <v>34</v>
      </c>
      <c r="P212" s="9" t="s">
        <v>34</v>
      </c>
      <c r="Q212" s="9" t="s">
        <v>34</v>
      </c>
      <c r="R212" s="9" t="s">
        <v>34</v>
      </c>
      <c r="S212" s="9" t="s">
        <v>34</v>
      </c>
      <c r="T212" s="9" t="s">
        <v>34</v>
      </c>
      <c r="U212" s="9" t="s">
        <v>34</v>
      </c>
      <c r="V212" s="9" t="s">
        <v>34</v>
      </c>
      <c r="W212" s="9" t="s">
        <v>34</v>
      </c>
      <c r="X212" s="9" t="s">
        <v>34</v>
      </c>
      <c r="Y212" s="9" t="s">
        <v>34</v>
      </c>
      <c r="Z212" s="9" t="s">
        <v>34</v>
      </c>
      <c r="AA212" s="9" t="s">
        <v>34</v>
      </c>
      <c r="AB212" s="9" t="s">
        <v>34</v>
      </c>
      <c r="AC212" s="9" t="s">
        <v>34</v>
      </c>
      <c r="AD212" s="9" t="s">
        <v>34</v>
      </c>
      <c r="AE212" s="9" t="s">
        <v>34</v>
      </c>
      <c r="AF212" s="56" t="s">
        <v>34</v>
      </c>
      <c r="AG212" s="135"/>
      <c r="AM212" s="82"/>
      <c r="AN212" s="80"/>
      <c r="AO212" s="78"/>
    </row>
    <row r="213" spans="1:41">
      <c r="A213" s="117"/>
      <c r="B213" s="6" t="s">
        <v>236</v>
      </c>
      <c r="C213" s="9" t="s">
        <v>33</v>
      </c>
      <c r="D213" s="9" t="s">
        <v>33</v>
      </c>
      <c r="E213" s="9" t="s">
        <v>303</v>
      </c>
      <c r="F213" s="9" t="s">
        <v>303</v>
      </c>
      <c r="G213" s="9" t="s">
        <v>303</v>
      </c>
      <c r="H213" s="9" t="s">
        <v>303</v>
      </c>
      <c r="I213" s="9" t="s">
        <v>34</v>
      </c>
      <c r="J213" s="9" t="s">
        <v>34</v>
      </c>
      <c r="K213" s="9" t="s">
        <v>34</v>
      </c>
      <c r="L213" s="9" t="s">
        <v>34</v>
      </c>
      <c r="M213" s="9" t="s">
        <v>34</v>
      </c>
      <c r="N213" s="9" t="s">
        <v>34</v>
      </c>
      <c r="O213" s="9" t="s">
        <v>34</v>
      </c>
      <c r="P213" s="9" t="s">
        <v>34</v>
      </c>
      <c r="Q213" s="9" t="s">
        <v>34</v>
      </c>
      <c r="R213" s="9" t="s">
        <v>34</v>
      </c>
      <c r="S213" s="9" t="s">
        <v>34</v>
      </c>
      <c r="T213" s="9" t="s">
        <v>34</v>
      </c>
      <c r="U213" s="9" t="s">
        <v>34</v>
      </c>
      <c r="V213" s="9" t="s">
        <v>34</v>
      </c>
      <c r="W213" s="9" t="s">
        <v>34</v>
      </c>
      <c r="X213" s="9" t="s">
        <v>34</v>
      </c>
      <c r="Y213" s="9" t="s">
        <v>34</v>
      </c>
      <c r="Z213" s="9" t="s">
        <v>34</v>
      </c>
      <c r="AA213" s="9" t="s">
        <v>34</v>
      </c>
      <c r="AB213" s="9" t="s">
        <v>34</v>
      </c>
      <c r="AC213" s="9" t="s">
        <v>34</v>
      </c>
      <c r="AD213" s="9" t="s">
        <v>34</v>
      </c>
      <c r="AE213" s="9" t="s">
        <v>34</v>
      </c>
      <c r="AF213" s="56" t="s">
        <v>34</v>
      </c>
      <c r="AG213" s="135"/>
      <c r="AN213" s="80"/>
      <c r="AO213" s="78"/>
    </row>
    <row r="214" spans="1:41">
      <c r="A214" s="117"/>
      <c r="B214" s="6" t="s">
        <v>237</v>
      </c>
      <c r="C214" s="9" t="s">
        <v>299</v>
      </c>
      <c r="D214" s="9" t="s">
        <v>299</v>
      </c>
      <c r="E214" s="9" t="s">
        <v>34</v>
      </c>
      <c r="F214" s="9" t="s">
        <v>34</v>
      </c>
      <c r="G214" s="9" t="s">
        <v>34</v>
      </c>
      <c r="H214" s="9" t="s">
        <v>34</v>
      </c>
      <c r="I214" s="9" t="s">
        <v>34</v>
      </c>
      <c r="J214" s="9" t="s">
        <v>34</v>
      </c>
      <c r="K214" s="9" t="s">
        <v>34</v>
      </c>
      <c r="L214" s="9" t="s">
        <v>34</v>
      </c>
      <c r="M214" s="9" t="s">
        <v>34</v>
      </c>
      <c r="N214" s="9" t="s">
        <v>34</v>
      </c>
      <c r="O214" s="9" t="s">
        <v>34</v>
      </c>
      <c r="P214" s="9" t="s">
        <v>34</v>
      </c>
      <c r="Q214" s="9" t="s">
        <v>34</v>
      </c>
      <c r="R214" s="9" t="s">
        <v>34</v>
      </c>
      <c r="S214" s="9" t="s">
        <v>34</v>
      </c>
      <c r="T214" s="9" t="s">
        <v>34</v>
      </c>
      <c r="U214" s="9" t="s">
        <v>34</v>
      </c>
      <c r="V214" s="9" t="s">
        <v>34</v>
      </c>
      <c r="W214" s="9" t="s">
        <v>34</v>
      </c>
      <c r="X214" s="9" t="s">
        <v>34</v>
      </c>
      <c r="Y214" s="9" t="s">
        <v>34</v>
      </c>
      <c r="Z214" s="9" t="s">
        <v>34</v>
      </c>
      <c r="AA214" s="9" t="s">
        <v>34</v>
      </c>
      <c r="AB214" s="9" t="s">
        <v>34</v>
      </c>
      <c r="AC214" s="9" t="s">
        <v>34</v>
      </c>
      <c r="AD214" s="9" t="s">
        <v>34</v>
      </c>
      <c r="AE214" s="9" t="s">
        <v>34</v>
      </c>
      <c r="AF214" s="56" t="s">
        <v>34</v>
      </c>
      <c r="AG214" s="135"/>
      <c r="AO214" s="78"/>
    </row>
    <row r="215" spans="1:41">
      <c r="A215" s="117"/>
      <c r="B215" s="6" t="s">
        <v>238</v>
      </c>
      <c r="C215" s="9" t="s">
        <v>303</v>
      </c>
      <c r="D215" s="9" t="s">
        <v>34</v>
      </c>
      <c r="E215" s="9" t="s">
        <v>34</v>
      </c>
      <c r="F215" s="9" t="s">
        <v>34</v>
      </c>
      <c r="G215" s="9" t="s">
        <v>303</v>
      </c>
      <c r="H215" s="9" t="s">
        <v>34</v>
      </c>
      <c r="I215" s="9" t="s">
        <v>34</v>
      </c>
      <c r="J215" s="9" t="s">
        <v>34</v>
      </c>
      <c r="K215" s="9" t="s">
        <v>34</v>
      </c>
      <c r="L215" s="9" t="s">
        <v>34</v>
      </c>
      <c r="M215" s="9" t="s">
        <v>34</v>
      </c>
      <c r="N215" s="9" t="s">
        <v>34</v>
      </c>
      <c r="O215" s="9" t="s">
        <v>34</v>
      </c>
      <c r="P215" s="9" t="s">
        <v>34</v>
      </c>
      <c r="Q215" s="9" t="s">
        <v>34</v>
      </c>
      <c r="R215" s="9" t="s">
        <v>34</v>
      </c>
      <c r="S215" s="9" t="s">
        <v>34</v>
      </c>
      <c r="T215" s="9" t="s">
        <v>34</v>
      </c>
      <c r="U215" s="9" t="s">
        <v>34</v>
      </c>
      <c r="V215" s="9" t="s">
        <v>34</v>
      </c>
      <c r="W215" s="9" t="s">
        <v>34</v>
      </c>
      <c r="X215" s="9" t="s">
        <v>34</v>
      </c>
      <c r="Y215" s="9" t="s">
        <v>34</v>
      </c>
      <c r="Z215" s="9" t="s">
        <v>34</v>
      </c>
      <c r="AA215" s="9" t="s">
        <v>34</v>
      </c>
      <c r="AB215" s="9" t="s">
        <v>34</v>
      </c>
      <c r="AC215" s="9" t="s">
        <v>34</v>
      </c>
      <c r="AD215" s="9" t="s">
        <v>34</v>
      </c>
      <c r="AE215" s="9" t="s">
        <v>34</v>
      </c>
      <c r="AF215" s="56" t="s">
        <v>34</v>
      </c>
      <c r="AG215" s="135"/>
      <c r="AO215" s="78"/>
    </row>
    <row r="216" spans="1:41">
      <c r="A216" s="117"/>
      <c r="B216" s="6" t="s">
        <v>239</v>
      </c>
      <c r="C216" s="9" t="s">
        <v>34</v>
      </c>
      <c r="D216" s="9" t="s">
        <v>34</v>
      </c>
      <c r="E216" s="9" t="s">
        <v>34</v>
      </c>
      <c r="F216" s="9" t="s">
        <v>34</v>
      </c>
      <c r="G216" s="9" t="s">
        <v>34</v>
      </c>
      <c r="H216" s="9" t="s">
        <v>34</v>
      </c>
      <c r="I216" s="9" t="s">
        <v>34</v>
      </c>
      <c r="J216" s="9" t="s">
        <v>34</v>
      </c>
      <c r="K216" s="9" t="s">
        <v>34</v>
      </c>
      <c r="L216" s="9" t="s">
        <v>34</v>
      </c>
      <c r="M216" s="9" t="s">
        <v>34</v>
      </c>
      <c r="N216" s="9" t="s">
        <v>34</v>
      </c>
      <c r="O216" s="9" t="s">
        <v>34</v>
      </c>
      <c r="P216" s="9" t="s">
        <v>34</v>
      </c>
      <c r="Q216" s="9" t="s">
        <v>34</v>
      </c>
      <c r="R216" s="9" t="s">
        <v>34</v>
      </c>
      <c r="S216" s="9" t="s">
        <v>34</v>
      </c>
      <c r="T216" s="9" t="s">
        <v>34</v>
      </c>
      <c r="U216" s="9" t="s">
        <v>34</v>
      </c>
      <c r="V216" s="9" t="s">
        <v>34</v>
      </c>
      <c r="W216" s="9" t="s">
        <v>34</v>
      </c>
      <c r="X216" s="9" t="s">
        <v>34</v>
      </c>
      <c r="Y216" s="9" t="s">
        <v>34</v>
      </c>
      <c r="Z216" s="9" t="s">
        <v>34</v>
      </c>
      <c r="AA216" s="9" t="s">
        <v>34</v>
      </c>
      <c r="AB216" s="9" t="s">
        <v>34</v>
      </c>
      <c r="AC216" s="9" t="s">
        <v>34</v>
      </c>
      <c r="AD216" s="9" t="s">
        <v>34</v>
      </c>
      <c r="AE216" s="9" t="s">
        <v>34</v>
      </c>
      <c r="AF216" s="56" t="s">
        <v>34</v>
      </c>
      <c r="AG216" s="135"/>
      <c r="AO216" s="78"/>
    </row>
    <row r="217" spans="1:41">
      <c r="A217" s="117"/>
      <c r="B217" s="6" t="s">
        <v>240</v>
      </c>
      <c r="C217" s="9" t="s">
        <v>303</v>
      </c>
      <c r="D217" s="9" t="s">
        <v>34</v>
      </c>
      <c r="E217" s="9" t="s">
        <v>34</v>
      </c>
      <c r="F217" s="9" t="s">
        <v>34</v>
      </c>
      <c r="G217" s="9" t="s">
        <v>34</v>
      </c>
      <c r="H217" s="9" t="s">
        <v>34</v>
      </c>
      <c r="I217" s="9" t="s">
        <v>34</v>
      </c>
      <c r="J217" s="9" t="s">
        <v>34</v>
      </c>
      <c r="K217" s="9" t="s">
        <v>34</v>
      </c>
      <c r="L217" s="9" t="s">
        <v>34</v>
      </c>
      <c r="M217" s="9" t="s">
        <v>34</v>
      </c>
      <c r="N217" s="9" t="s">
        <v>34</v>
      </c>
      <c r="O217" s="9" t="s">
        <v>34</v>
      </c>
      <c r="P217" s="9" t="s">
        <v>34</v>
      </c>
      <c r="Q217" s="9" t="s">
        <v>34</v>
      </c>
      <c r="R217" s="9" t="s">
        <v>34</v>
      </c>
      <c r="S217" s="9" t="s">
        <v>34</v>
      </c>
      <c r="T217" s="9" t="s">
        <v>34</v>
      </c>
      <c r="U217" s="9" t="s">
        <v>34</v>
      </c>
      <c r="V217" s="9" t="s">
        <v>34</v>
      </c>
      <c r="W217" s="9" t="s">
        <v>34</v>
      </c>
      <c r="X217" s="9" t="s">
        <v>34</v>
      </c>
      <c r="Y217" s="9" t="s">
        <v>34</v>
      </c>
      <c r="Z217" s="9" t="s">
        <v>34</v>
      </c>
      <c r="AA217" s="9" t="s">
        <v>34</v>
      </c>
      <c r="AB217" s="9" t="s">
        <v>34</v>
      </c>
      <c r="AC217" s="9" t="s">
        <v>34</v>
      </c>
      <c r="AD217" s="9" t="s">
        <v>34</v>
      </c>
      <c r="AE217" s="9" t="s">
        <v>34</v>
      </c>
      <c r="AF217" s="56" t="s">
        <v>34</v>
      </c>
      <c r="AG217" s="135"/>
      <c r="AO217" s="78"/>
    </row>
    <row r="218" spans="1:41" ht="15.75" customHeight="1" thickBot="1">
      <c r="A218" s="119"/>
      <c r="B218" s="29" t="s">
        <v>241</v>
      </c>
      <c r="C218" s="20" t="s">
        <v>34</v>
      </c>
      <c r="D218" s="20" t="s">
        <v>34</v>
      </c>
      <c r="E218" s="20" t="s">
        <v>34</v>
      </c>
      <c r="F218" s="20" t="s">
        <v>34</v>
      </c>
      <c r="G218" s="20" t="s">
        <v>34</v>
      </c>
      <c r="H218" s="20" t="s">
        <v>34</v>
      </c>
      <c r="I218" s="20" t="s">
        <v>34</v>
      </c>
      <c r="J218" s="20" t="s">
        <v>34</v>
      </c>
      <c r="K218" s="20" t="s">
        <v>34</v>
      </c>
      <c r="L218" s="20" t="s">
        <v>34</v>
      </c>
      <c r="M218" s="20" t="s">
        <v>34</v>
      </c>
      <c r="N218" s="20" t="s">
        <v>34</v>
      </c>
      <c r="O218" s="20" t="s">
        <v>34</v>
      </c>
      <c r="P218" s="20" t="s">
        <v>34</v>
      </c>
      <c r="Q218" s="20" t="s">
        <v>34</v>
      </c>
      <c r="R218" s="20" t="s">
        <v>34</v>
      </c>
      <c r="S218" s="20" t="s">
        <v>34</v>
      </c>
      <c r="T218" s="20" t="s">
        <v>34</v>
      </c>
      <c r="U218" s="20" t="s">
        <v>34</v>
      </c>
      <c r="V218" s="20" t="s">
        <v>34</v>
      </c>
      <c r="W218" s="20" t="s">
        <v>34</v>
      </c>
      <c r="X218" s="20" t="s">
        <v>34</v>
      </c>
      <c r="Y218" s="20" t="s">
        <v>34</v>
      </c>
      <c r="Z218" s="20" t="s">
        <v>34</v>
      </c>
      <c r="AA218" s="20" t="s">
        <v>34</v>
      </c>
      <c r="AB218" s="20" t="s">
        <v>34</v>
      </c>
      <c r="AC218" s="20" t="s">
        <v>34</v>
      </c>
      <c r="AD218" s="20" t="s">
        <v>34</v>
      </c>
      <c r="AE218" s="20" t="s">
        <v>34</v>
      </c>
      <c r="AF218" s="57" t="s">
        <v>34</v>
      </c>
      <c r="AG218" s="135"/>
      <c r="AO218" s="78"/>
    </row>
    <row r="219" spans="1:41" ht="15" customHeight="1">
      <c r="A219" s="116" t="s">
        <v>242</v>
      </c>
      <c r="B219" s="28" t="s">
        <v>204</v>
      </c>
      <c r="C219" s="18" t="s">
        <v>33</v>
      </c>
      <c r="D219" s="18" t="s">
        <v>33</v>
      </c>
      <c r="E219" s="18" t="s">
        <v>33</v>
      </c>
      <c r="F219" s="18" t="s">
        <v>33</v>
      </c>
      <c r="G219" s="18" t="s">
        <v>33</v>
      </c>
      <c r="H219" s="18" t="s">
        <v>33</v>
      </c>
      <c r="I219" s="18" t="s">
        <v>33</v>
      </c>
      <c r="J219" s="18" t="s">
        <v>33</v>
      </c>
      <c r="K219" s="18" t="s">
        <v>33</v>
      </c>
      <c r="L219" s="18" t="s">
        <v>33</v>
      </c>
      <c r="M219" s="18" t="s">
        <v>33</v>
      </c>
      <c r="N219" s="18" t="s">
        <v>33</v>
      </c>
      <c r="O219" s="18" t="s">
        <v>33</v>
      </c>
      <c r="P219" s="18" t="s">
        <v>33</v>
      </c>
      <c r="Q219" s="18" t="s">
        <v>33</v>
      </c>
      <c r="R219" s="18" t="s">
        <v>33</v>
      </c>
      <c r="S219" s="18" t="s">
        <v>33</v>
      </c>
      <c r="T219" s="18" t="s">
        <v>33</v>
      </c>
      <c r="U219" s="18" t="s">
        <v>33</v>
      </c>
      <c r="V219" s="18" t="s">
        <v>33</v>
      </c>
      <c r="W219" s="18" t="s">
        <v>33</v>
      </c>
      <c r="X219" s="18" t="s">
        <v>33</v>
      </c>
      <c r="Y219" s="18" t="s">
        <v>33</v>
      </c>
      <c r="Z219" s="18" t="s">
        <v>33</v>
      </c>
      <c r="AA219" s="18" t="s">
        <v>33</v>
      </c>
      <c r="AB219" s="18" t="s">
        <v>33</v>
      </c>
      <c r="AC219" s="18" t="s">
        <v>33</v>
      </c>
      <c r="AD219" s="18" t="s">
        <v>33</v>
      </c>
      <c r="AE219" s="18" t="s">
        <v>303</v>
      </c>
      <c r="AF219" s="55" t="s">
        <v>303</v>
      </c>
      <c r="AG219" s="66" t="s">
        <v>359</v>
      </c>
      <c r="AH219" s="71" t="s">
        <v>360</v>
      </c>
      <c r="AI219" s="73" t="s">
        <v>361</v>
      </c>
      <c r="AJ219" s="75" t="s">
        <v>362</v>
      </c>
      <c r="AK219" s="85" t="s">
        <v>363</v>
      </c>
      <c r="AL219" s="83" t="s">
        <v>364</v>
      </c>
      <c r="AM219" s="81" t="s">
        <v>365</v>
      </c>
      <c r="AN219" s="79" t="s">
        <v>366</v>
      </c>
      <c r="AO219" s="77" t="s">
        <v>367</v>
      </c>
    </row>
    <row r="220" spans="1:41">
      <c r="A220" s="117"/>
      <c r="B220" s="6" t="s">
        <v>205</v>
      </c>
      <c r="C220" s="9" t="s">
        <v>33</v>
      </c>
      <c r="D220" s="9" t="s">
        <v>33</v>
      </c>
      <c r="E220" s="9" t="s">
        <v>33</v>
      </c>
      <c r="F220" s="9" t="s">
        <v>33</v>
      </c>
      <c r="G220" s="9" t="s">
        <v>33</v>
      </c>
      <c r="H220" s="9" t="s">
        <v>33</v>
      </c>
      <c r="I220" s="9" t="s">
        <v>33</v>
      </c>
      <c r="J220" s="9" t="s">
        <v>33</v>
      </c>
      <c r="K220" s="9" t="s">
        <v>33</v>
      </c>
      <c r="L220" s="9" t="s">
        <v>33</v>
      </c>
      <c r="M220" s="9" t="s">
        <v>33</v>
      </c>
      <c r="N220" s="9" t="s">
        <v>33</v>
      </c>
      <c r="O220" s="9" t="s">
        <v>33</v>
      </c>
      <c r="P220" s="9" t="s">
        <v>33</v>
      </c>
      <c r="Q220" s="9" t="s">
        <v>33</v>
      </c>
      <c r="R220" s="9" t="s">
        <v>33</v>
      </c>
      <c r="S220" s="9" t="s">
        <v>33</v>
      </c>
      <c r="T220" s="9" t="s">
        <v>33</v>
      </c>
      <c r="U220" s="9" t="s">
        <v>33</v>
      </c>
      <c r="V220" s="9" t="s">
        <v>33</v>
      </c>
      <c r="W220" s="9" t="s">
        <v>33</v>
      </c>
      <c r="X220" s="9" t="s">
        <v>33</v>
      </c>
      <c r="Y220" s="9" t="s">
        <v>33</v>
      </c>
      <c r="Z220" s="9" t="s">
        <v>33</v>
      </c>
      <c r="AA220" s="9" t="s">
        <v>33</v>
      </c>
      <c r="AB220" s="9" t="s">
        <v>33</v>
      </c>
      <c r="AC220" s="9" t="s">
        <v>33</v>
      </c>
      <c r="AD220" s="9" t="s">
        <v>33</v>
      </c>
      <c r="AE220" s="9" t="s">
        <v>303</v>
      </c>
      <c r="AF220" s="56" t="s">
        <v>34</v>
      </c>
      <c r="AG220" s="70"/>
      <c r="AH220" s="72"/>
      <c r="AI220" s="74"/>
      <c r="AJ220" s="76"/>
      <c r="AK220" s="86"/>
      <c r="AL220" s="84"/>
      <c r="AM220" s="82"/>
      <c r="AN220" s="80"/>
      <c r="AO220" s="78"/>
    </row>
    <row r="221" spans="1:41">
      <c r="A221" s="117"/>
      <c r="B221" s="6" t="s">
        <v>206</v>
      </c>
      <c r="C221" s="9" t="s">
        <v>33</v>
      </c>
      <c r="D221" s="9" t="s">
        <v>33</v>
      </c>
      <c r="E221" s="9" t="s">
        <v>33</v>
      </c>
      <c r="F221" s="9" t="s">
        <v>33</v>
      </c>
      <c r="G221" s="9" t="s">
        <v>33</v>
      </c>
      <c r="H221" s="9" t="s">
        <v>33</v>
      </c>
      <c r="I221" s="9" t="s">
        <v>33</v>
      </c>
      <c r="J221" s="9" t="s">
        <v>33</v>
      </c>
      <c r="K221" s="9" t="s">
        <v>33</v>
      </c>
      <c r="L221" s="9" t="s">
        <v>33</v>
      </c>
      <c r="M221" s="9" t="s">
        <v>33</v>
      </c>
      <c r="N221" s="9" t="s">
        <v>33</v>
      </c>
      <c r="O221" s="9" t="s">
        <v>33</v>
      </c>
      <c r="P221" s="9" t="s">
        <v>33</v>
      </c>
      <c r="Q221" s="9" t="s">
        <v>33</v>
      </c>
      <c r="R221" s="9" t="s">
        <v>33</v>
      </c>
      <c r="S221" s="9" t="s">
        <v>33</v>
      </c>
      <c r="T221" s="9" t="s">
        <v>33</v>
      </c>
      <c r="U221" s="9" t="s">
        <v>33</v>
      </c>
      <c r="V221" s="9" t="s">
        <v>33</v>
      </c>
      <c r="W221" s="9" t="s">
        <v>303</v>
      </c>
      <c r="X221" s="9" t="s">
        <v>33</v>
      </c>
      <c r="Y221" s="9" t="s">
        <v>303</v>
      </c>
      <c r="Z221" s="9" t="s">
        <v>303</v>
      </c>
      <c r="AA221" s="9" t="s">
        <v>303</v>
      </c>
      <c r="AB221" s="9" t="s">
        <v>33</v>
      </c>
      <c r="AC221" s="9" t="s">
        <v>303</v>
      </c>
      <c r="AD221" s="9" t="s">
        <v>303</v>
      </c>
      <c r="AE221" s="9" t="s">
        <v>34</v>
      </c>
      <c r="AF221" s="56" t="s">
        <v>34</v>
      </c>
      <c r="AG221" s="70"/>
      <c r="AH221" s="72"/>
      <c r="AI221" s="74"/>
      <c r="AJ221" s="76"/>
      <c r="AK221" s="86"/>
      <c r="AL221" s="84"/>
      <c r="AM221" s="82"/>
      <c r="AN221" s="80"/>
      <c r="AO221" s="78"/>
    </row>
    <row r="222" spans="1:41">
      <c r="A222" s="117"/>
      <c r="B222" s="6" t="s">
        <v>161</v>
      </c>
      <c r="C222" s="9" t="s">
        <v>33</v>
      </c>
      <c r="D222" s="9" t="s">
        <v>33</v>
      </c>
      <c r="E222" s="9" t="s">
        <v>33</v>
      </c>
      <c r="F222" s="9" t="s">
        <v>33</v>
      </c>
      <c r="G222" s="9" t="s">
        <v>33</v>
      </c>
      <c r="H222" s="9" t="s">
        <v>33</v>
      </c>
      <c r="I222" s="9" t="s">
        <v>33</v>
      </c>
      <c r="J222" s="9" t="s">
        <v>33</v>
      </c>
      <c r="K222" s="9" t="s">
        <v>33</v>
      </c>
      <c r="L222" s="9" t="s">
        <v>33</v>
      </c>
      <c r="M222" s="9" t="s">
        <v>33</v>
      </c>
      <c r="N222" s="9" t="s">
        <v>33</v>
      </c>
      <c r="O222" s="9" t="s">
        <v>33</v>
      </c>
      <c r="P222" s="9" t="s">
        <v>33</v>
      </c>
      <c r="Q222" s="9" t="s">
        <v>33</v>
      </c>
      <c r="R222" s="9" t="s">
        <v>33</v>
      </c>
      <c r="S222" s="9" t="s">
        <v>33</v>
      </c>
      <c r="T222" s="9" t="s">
        <v>303</v>
      </c>
      <c r="U222" s="9" t="s">
        <v>33</v>
      </c>
      <c r="V222" s="9" t="s">
        <v>33</v>
      </c>
      <c r="W222" s="9" t="s">
        <v>303</v>
      </c>
      <c r="X222" s="9" t="s">
        <v>303</v>
      </c>
      <c r="Y222" s="9" t="s">
        <v>303</v>
      </c>
      <c r="Z222" s="9" t="s">
        <v>303</v>
      </c>
      <c r="AA222" s="9" t="s">
        <v>303</v>
      </c>
      <c r="AB222" s="9" t="s">
        <v>33</v>
      </c>
      <c r="AC222" s="9" t="s">
        <v>303</v>
      </c>
      <c r="AD222" s="9" t="s">
        <v>303</v>
      </c>
      <c r="AE222" s="9" t="s">
        <v>34</v>
      </c>
      <c r="AF222" s="56" t="s">
        <v>34</v>
      </c>
      <c r="AG222" s="70"/>
      <c r="AH222" s="72"/>
      <c r="AI222" s="74"/>
      <c r="AJ222" s="76"/>
      <c r="AK222" s="86"/>
      <c r="AL222" s="84"/>
      <c r="AM222" s="82"/>
      <c r="AN222" s="80"/>
      <c r="AO222" s="78"/>
    </row>
    <row r="223" spans="1:41">
      <c r="A223" s="117"/>
      <c r="B223" s="6" t="s">
        <v>243</v>
      </c>
      <c r="C223" s="9" t="s">
        <v>33</v>
      </c>
      <c r="D223" s="9" t="s">
        <v>33</v>
      </c>
      <c r="E223" s="9" t="s">
        <v>33</v>
      </c>
      <c r="F223" s="9" t="s">
        <v>33</v>
      </c>
      <c r="G223" s="9" t="s">
        <v>33</v>
      </c>
      <c r="H223" s="9" t="s">
        <v>33</v>
      </c>
      <c r="I223" s="9" t="s">
        <v>33</v>
      </c>
      <c r="J223" s="9" t="s">
        <v>33</v>
      </c>
      <c r="K223" s="9" t="s">
        <v>33</v>
      </c>
      <c r="L223" s="9" t="s">
        <v>33</v>
      </c>
      <c r="M223" s="9" t="s">
        <v>33</v>
      </c>
      <c r="N223" s="9" t="s">
        <v>33</v>
      </c>
      <c r="O223" s="9" t="s">
        <v>303</v>
      </c>
      <c r="P223" s="9" t="s">
        <v>303</v>
      </c>
      <c r="Q223" s="9" t="s">
        <v>33</v>
      </c>
      <c r="R223" s="9" t="s">
        <v>303</v>
      </c>
      <c r="S223" s="9" t="s">
        <v>303</v>
      </c>
      <c r="T223" s="9" t="s">
        <v>303</v>
      </c>
      <c r="U223" s="9" t="s">
        <v>303</v>
      </c>
      <c r="V223" s="9" t="s">
        <v>303</v>
      </c>
      <c r="W223" s="9" t="s">
        <v>303</v>
      </c>
      <c r="X223" s="9" t="s">
        <v>303</v>
      </c>
      <c r="Y223" s="9" t="s">
        <v>303</v>
      </c>
      <c r="Z223" s="9" t="s">
        <v>303</v>
      </c>
      <c r="AA223" s="9" t="s">
        <v>303</v>
      </c>
      <c r="AB223" s="9" t="s">
        <v>303</v>
      </c>
      <c r="AC223" s="9" t="s">
        <v>303</v>
      </c>
      <c r="AD223" s="9" t="s">
        <v>34</v>
      </c>
      <c r="AE223" s="9" t="s">
        <v>34</v>
      </c>
      <c r="AF223" s="56" t="s">
        <v>34</v>
      </c>
      <c r="AG223" s="70"/>
      <c r="AH223" s="49"/>
      <c r="AI223" s="74"/>
      <c r="AJ223" s="76"/>
      <c r="AK223" s="86"/>
      <c r="AL223" s="84"/>
      <c r="AM223" s="82"/>
      <c r="AN223" s="80"/>
      <c r="AO223" s="78"/>
    </row>
    <row r="224" spans="1:41">
      <c r="A224" s="117"/>
      <c r="B224" s="6" t="s">
        <v>244</v>
      </c>
      <c r="C224" s="9" t="s">
        <v>33</v>
      </c>
      <c r="D224" s="9" t="s">
        <v>33</v>
      </c>
      <c r="E224" s="9" t="s">
        <v>33</v>
      </c>
      <c r="F224" s="9" t="s">
        <v>299</v>
      </c>
      <c r="G224" s="9" t="s">
        <v>33</v>
      </c>
      <c r="H224" s="9" t="s">
        <v>33</v>
      </c>
      <c r="I224" s="9" t="s">
        <v>299</v>
      </c>
      <c r="J224" s="9" t="s">
        <v>33</v>
      </c>
      <c r="K224" s="9" t="s">
        <v>303</v>
      </c>
      <c r="L224" s="9" t="s">
        <v>303</v>
      </c>
      <c r="M224" s="9" t="s">
        <v>303</v>
      </c>
      <c r="N224" s="9" t="s">
        <v>303</v>
      </c>
      <c r="O224" s="9" t="s">
        <v>303</v>
      </c>
      <c r="P224" s="9" t="s">
        <v>303</v>
      </c>
      <c r="Q224" s="9" t="s">
        <v>34</v>
      </c>
      <c r="R224" s="9" t="s">
        <v>34</v>
      </c>
      <c r="S224" s="9" t="s">
        <v>34</v>
      </c>
      <c r="T224" s="9" t="s">
        <v>34</v>
      </c>
      <c r="U224" s="9" t="s">
        <v>34</v>
      </c>
      <c r="V224" s="9" t="s">
        <v>34</v>
      </c>
      <c r="W224" s="9" t="s">
        <v>34</v>
      </c>
      <c r="X224" s="9" t="s">
        <v>34</v>
      </c>
      <c r="Y224" s="9" t="s">
        <v>34</v>
      </c>
      <c r="Z224" s="9" t="s">
        <v>34</v>
      </c>
      <c r="AA224" s="9" t="s">
        <v>34</v>
      </c>
      <c r="AB224" s="9" t="s">
        <v>34</v>
      </c>
      <c r="AC224" s="9" t="s">
        <v>34</v>
      </c>
      <c r="AD224" s="9" t="s">
        <v>34</v>
      </c>
      <c r="AE224" s="9" t="s">
        <v>34</v>
      </c>
      <c r="AF224" s="56" t="s">
        <v>34</v>
      </c>
      <c r="AG224" s="70"/>
      <c r="AH224" s="49"/>
      <c r="AI224" s="49"/>
      <c r="AK224" s="86"/>
      <c r="AL224" s="84"/>
      <c r="AM224" s="82"/>
      <c r="AN224" s="80"/>
      <c r="AO224" s="78"/>
    </row>
    <row r="225" spans="1:41">
      <c r="A225" s="117"/>
      <c r="B225" s="6" t="s">
        <v>245</v>
      </c>
      <c r="C225" s="9" t="s">
        <v>299</v>
      </c>
      <c r="D225" s="9" t="s">
        <v>299</v>
      </c>
      <c r="E225" s="9" t="s">
        <v>303</v>
      </c>
      <c r="F225" s="9" t="s">
        <v>303</v>
      </c>
      <c r="G225" s="9" t="s">
        <v>33</v>
      </c>
      <c r="H225" s="9" t="s">
        <v>303</v>
      </c>
      <c r="I225" s="9" t="s">
        <v>303</v>
      </c>
      <c r="J225" s="9" t="s">
        <v>303</v>
      </c>
      <c r="K225" s="9" t="s">
        <v>303</v>
      </c>
      <c r="L225" s="9" t="s">
        <v>34</v>
      </c>
      <c r="M225" s="9" t="s">
        <v>34</v>
      </c>
      <c r="N225" s="9" t="s">
        <v>34</v>
      </c>
      <c r="O225" s="9" t="s">
        <v>34</v>
      </c>
      <c r="P225" s="9" t="s">
        <v>34</v>
      </c>
      <c r="Q225" s="9" t="s">
        <v>303</v>
      </c>
      <c r="R225" s="9" t="s">
        <v>34</v>
      </c>
      <c r="S225" s="9" t="s">
        <v>34</v>
      </c>
      <c r="T225" s="9" t="s">
        <v>34</v>
      </c>
      <c r="U225" s="9" t="s">
        <v>34</v>
      </c>
      <c r="V225" s="9" t="s">
        <v>34</v>
      </c>
      <c r="W225" s="9" t="s">
        <v>34</v>
      </c>
      <c r="X225" s="9" t="s">
        <v>34</v>
      </c>
      <c r="Y225" s="9" t="s">
        <v>34</v>
      </c>
      <c r="Z225" s="9" t="s">
        <v>34</v>
      </c>
      <c r="AA225" s="9" t="s">
        <v>34</v>
      </c>
      <c r="AB225" s="9" t="s">
        <v>34</v>
      </c>
      <c r="AC225" s="9" t="s">
        <v>34</v>
      </c>
      <c r="AD225" s="9" t="s">
        <v>34</v>
      </c>
      <c r="AE225" s="9" t="s">
        <v>34</v>
      </c>
      <c r="AF225" s="56" t="s">
        <v>34</v>
      </c>
      <c r="AG225" s="70"/>
      <c r="AH225" s="49"/>
      <c r="AI225" s="49"/>
      <c r="AM225" s="82"/>
      <c r="AN225" s="80"/>
      <c r="AO225" s="78"/>
    </row>
    <row r="226" spans="1:41">
      <c r="A226" s="117"/>
      <c r="B226" s="6" t="s">
        <v>246</v>
      </c>
      <c r="C226" s="9" t="s">
        <v>299</v>
      </c>
      <c r="D226" s="9" t="s">
        <v>33</v>
      </c>
      <c r="E226" s="9" t="s">
        <v>303</v>
      </c>
      <c r="F226" s="9" t="s">
        <v>303</v>
      </c>
      <c r="G226" s="9" t="s">
        <v>303</v>
      </c>
      <c r="H226" s="9" t="s">
        <v>303</v>
      </c>
      <c r="I226" s="9" t="s">
        <v>303</v>
      </c>
      <c r="J226" s="9" t="s">
        <v>303</v>
      </c>
      <c r="K226" s="9" t="s">
        <v>303</v>
      </c>
      <c r="L226" s="9" t="s">
        <v>34</v>
      </c>
      <c r="M226" s="9" t="s">
        <v>34</v>
      </c>
      <c r="N226" s="9" t="s">
        <v>34</v>
      </c>
      <c r="O226" s="9" t="s">
        <v>34</v>
      </c>
      <c r="P226" s="9" t="s">
        <v>34</v>
      </c>
      <c r="Q226" s="9" t="s">
        <v>303</v>
      </c>
      <c r="R226" s="9" t="s">
        <v>34</v>
      </c>
      <c r="S226" s="9" t="s">
        <v>34</v>
      </c>
      <c r="T226" s="9" t="s">
        <v>34</v>
      </c>
      <c r="U226" s="9" t="s">
        <v>34</v>
      </c>
      <c r="V226" s="9" t="s">
        <v>34</v>
      </c>
      <c r="W226" s="9" t="s">
        <v>34</v>
      </c>
      <c r="X226" s="9" t="s">
        <v>34</v>
      </c>
      <c r="Y226" s="9" t="s">
        <v>34</v>
      </c>
      <c r="Z226" s="9" t="s">
        <v>34</v>
      </c>
      <c r="AA226" s="9" t="s">
        <v>34</v>
      </c>
      <c r="AB226" s="9" t="s">
        <v>34</v>
      </c>
      <c r="AC226" s="9" t="s">
        <v>34</v>
      </c>
      <c r="AD226" s="9" t="s">
        <v>34</v>
      </c>
      <c r="AE226" s="9" t="s">
        <v>34</v>
      </c>
      <c r="AF226" s="56" t="s">
        <v>34</v>
      </c>
      <c r="AG226" s="70"/>
      <c r="AH226" s="49"/>
      <c r="AI226" s="49"/>
      <c r="AM226" s="82"/>
      <c r="AN226" s="80"/>
      <c r="AO226" s="78"/>
    </row>
    <row r="227" spans="1:41">
      <c r="A227" s="117"/>
      <c r="B227" s="6" t="s">
        <v>247</v>
      </c>
      <c r="C227" s="9" t="s">
        <v>34</v>
      </c>
      <c r="D227" s="9" t="s">
        <v>34</v>
      </c>
      <c r="E227" s="9" t="s">
        <v>303</v>
      </c>
      <c r="F227" s="9" t="s">
        <v>303</v>
      </c>
      <c r="G227" s="9" t="s">
        <v>303</v>
      </c>
      <c r="H227" s="9" t="s">
        <v>33</v>
      </c>
      <c r="I227" s="9" t="s">
        <v>34</v>
      </c>
      <c r="J227" s="9" t="s">
        <v>34</v>
      </c>
      <c r="K227" s="9" t="s">
        <v>34</v>
      </c>
      <c r="L227" s="9" t="s">
        <v>34</v>
      </c>
      <c r="M227" s="9" t="s">
        <v>34</v>
      </c>
      <c r="N227" s="9" t="s">
        <v>34</v>
      </c>
      <c r="O227" s="9" t="s">
        <v>34</v>
      </c>
      <c r="P227" s="9" t="s">
        <v>34</v>
      </c>
      <c r="Q227" s="9" t="s">
        <v>34</v>
      </c>
      <c r="R227" s="9" t="s">
        <v>34</v>
      </c>
      <c r="S227" s="9" t="s">
        <v>34</v>
      </c>
      <c r="T227" s="9" t="s">
        <v>34</v>
      </c>
      <c r="U227" s="9" t="s">
        <v>34</v>
      </c>
      <c r="V227" s="9" t="s">
        <v>34</v>
      </c>
      <c r="W227" s="9" t="s">
        <v>34</v>
      </c>
      <c r="X227" s="9" t="s">
        <v>34</v>
      </c>
      <c r="Y227" s="9" t="s">
        <v>34</v>
      </c>
      <c r="Z227" s="9" t="s">
        <v>34</v>
      </c>
      <c r="AA227" s="9" t="s">
        <v>34</v>
      </c>
      <c r="AB227" s="9" t="s">
        <v>34</v>
      </c>
      <c r="AC227" s="9" t="s">
        <v>34</v>
      </c>
      <c r="AD227" s="9" t="s">
        <v>34</v>
      </c>
      <c r="AE227" s="9" t="s">
        <v>34</v>
      </c>
      <c r="AF227" s="56" t="s">
        <v>34</v>
      </c>
      <c r="AG227" s="70"/>
      <c r="AH227" s="49"/>
      <c r="AI227" s="49"/>
      <c r="AM227" s="82"/>
      <c r="AN227" s="80"/>
      <c r="AO227" s="78"/>
    </row>
    <row r="228" spans="1:41">
      <c r="A228" s="117"/>
      <c r="B228" s="6" t="s">
        <v>248</v>
      </c>
      <c r="C228" s="9" t="s">
        <v>34</v>
      </c>
      <c r="D228" s="9" t="s">
        <v>34</v>
      </c>
      <c r="E228" s="9" t="s">
        <v>34</v>
      </c>
      <c r="F228" s="9" t="s">
        <v>34</v>
      </c>
      <c r="G228" s="9" t="s">
        <v>34</v>
      </c>
      <c r="H228" s="9" t="s">
        <v>34</v>
      </c>
      <c r="I228" s="9" t="s">
        <v>34</v>
      </c>
      <c r="J228" s="9" t="s">
        <v>34</v>
      </c>
      <c r="K228" s="9" t="s">
        <v>34</v>
      </c>
      <c r="L228" s="9" t="s">
        <v>34</v>
      </c>
      <c r="M228" s="9" t="s">
        <v>34</v>
      </c>
      <c r="N228" s="9" t="s">
        <v>34</v>
      </c>
      <c r="O228" s="9" t="s">
        <v>34</v>
      </c>
      <c r="P228" s="9" t="s">
        <v>34</v>
      </c>
      <c r="Q228" s="9" t="s">
        <v>34</v>
      </c>
      <c r="R228" s="9" t="s">
        <v>34</v>
      </c>
      <c r="S228" s="9" t="s">
        <v>34</v>
      </c>
      <c r="T228" s="9" t="s">
        <v>34</v>
      </c>
      <c r="U228" s="9" t="s">
        <v>34</v>
      </c>
      <c r="V228" s="9" t="s">
        <v>34</v>
      </c>
      <c r="W228" s="9" t="s">
        <v>34</v>
      </c>
      <c r="X228" s="9" t="s">
        <v>34</v>
      </c>
      <c r="Y228" s="9" t="s">
        <v>34</v>
      </c>
      <c r="Z228" s="9" t="s">
        <v>34</v>
      </c>
      <c r="AA228" s="9" t="s">
        <v>34</v>
      </c>
      <c r="AB228" s="9" t="s">
        <v>34</v>
      </c>
      <c r="AC228" s="9" t="s">
        <v>34</v>
      </c>
      <c r="AD228" s="9" t="s">
        <v>34</v>
      </c>
      <c r="AE228" s="9" t="s">
        <v>34</v>
      </c>
      <c r="AF228" s="56" t="s">
        <v>34</v>
      </c>
      <c r="AG228" s="70"/>
      <c r="AH228" s="49"/>
      <c r="AI228" s="49"/>
      <c r="AN228" s="80"/>
      <c r="AO228" s="78"/>
    </row>
    <row r="229" spans="1:41">
      <c r="A229" s="117"/>
      <c r="B229" s="6" t="s">
        <v>249</v>
      </c>
      <c r="C229" s="9" t="s">
        <v>303</v>
      </c>
      <c r="D229" s="9" t="s">
        <v>34</v>
      </c>
      <c r="E229" s="9" t="s">
        <v>34</v>
      </c>
      <c r="F229" s="9" t="s">
        <v>34</v>
      </c>
      <c r="G229" s="9" t="s">
        <v>34</v>
      </c>
      <c r="H229" s="9" t="s">
        <v>34</v>
      </c>
      <c r="I229" s="9" t="s">
        <v>34</v>
      </c>
      <c r="J229" s="9" t="s">
        <v>34</v>
      </c>
      <c r="K229" s="9" t="s">
        <v>34</v>
      </c>
      <c r="L229" s="9" t="s">
        <v>34</v>
      </c>
      <c r="M229" s="9" t="s">
        <v>34</v>
      </c>
      <c r="N229" s="9" t="s">
        <v>34</v>
      </c>
      <c r="O229" s="9" t="s">
        <v>34</v>
      </c>
      <c r="P229" s="9" t="s">
        <v>34</v>
      </c>
      <c r="Q229" s="9" t="s">
        <v>34</v>
      </c>
      <c r="R229" s="9" t="s">
        <v>34</v>
      </c>
      <c r="S229" s="9" t="s">
        <v>34</v>
      </c>
      <c r="T229" s="9" t="s">
        <v>34</v>
      </c>
      <c r="U229" s="9" t="s">
        <v>34</v>
      </c>
      <c r="V229" s="9" t="s">
        <v>34</v>
      </c>
      <c r="W229" s="9" t="s">
        <v>34</v>
      </c>
      <c r="X229" s="9" t="s">
        <v>34</v>
      </c>
      <c r="Y229" s="9" t="s">
        <v>34</v>
      </c>
      <c r="Z229" s="9" t="s">
        <v>34</v>
      </c>
      <c r="AA229" s="9" t="s">
        <v>34</v>
      </c>
      <c r="AB229" s="9" t="s">
        <v>34</v>
      </c>
      <c r="AC229" s="9" t="s">
        <v>34</v>
      </c>
      <c r="AD229" s="9" t="s">
        <v>34</v>
      </c>
      <c r="AE229" s="9" t="s">
        <v>34</v>
      </c>
      <c r="AF229" s="56" t="s">
        <v>34</v>
      </c>
      <c r="AG229" s="70"/>
      <c r="AH229" s="49"/>
      <c r="AI229" s="49"/>
      <c r="AJ229" s="49"/>
      <c r="AO229" s="78"/>
    </row>
    <row r="230" spans="1:41">
      <c r="A230" s="117"/>
      <c r="B230" s="6" t="s">
        <v>250</v>
      </c>
      <c r="C230" s="9" t="s">
        <v>33</v>
      </c>
      <c r="D230" s="9" t="s">
        <v>34</v>
      </c>
      <c r="E230" s="9" t="s">
        <v>34</v>
      </c>
      <c r="F230" s="9" t="s">
        <v>34</v>
      </c>
      <c r="G230" s="9" t="s">
        <v>34</v>
      </c>
      <c r="H230" s="9" t="s">
        <v>34</v>
      </c>
      <c r="I230" s="9" t="s">
        <v>34</v>
      </c>
      <c r="J230" s="9" t="s">
        <v>34</v>
      </c>
      <c r="K230" s="9" t="s">
        <v>34</v>
      </c>
      <c r="L230" s="9" t="s">
        <v>34</v>
      </c>
      <c r="M230" s="9" t="s">
        <v>34</v>
      </c>
      <c r="N230" s="9" t="s">
        <v>34</v>
      </c>
      <c r="O230" s="9" t="s">
        <v>34</v>
      </c>
      <c r="P230" s="9" t="s">
        <v>34</v>
      </c>
      <c r="Q230" s="9" t="s">
        <v>34</v>
      </c>
      <c r="R230" s="9" t="s">
        <v>34</v>
      </c>
      <c r="S230" s="9" t="s">
        <v>34</v>
      </c>
      <c r="T230" s="9" t="s">
        <v>34</v>
      </c>
      <c r="U230" s="9" t="s">
        <v>34</v>
      </c>
      <c r="V230" s="9" t="s">
        <v>34</v>
      </c>
      <c r="W230" s="9" t="s">
        <v>34</v>
      </c>
      <c r="X230" s="9" t="s">
        <v>34</v>
      </c>
      <c r="Y230" s="9" t="s">
        <v>34</v>
      </c>
      <c r="Z230" s="9" t="s">
        <v>34</v>
      </c>
      <c r="AA230" s="9" t="s">
        <v>34</v>
      </c>
      <c r="AB230" s="9" t="s">
        <v>34</v>
      </c>
      <c r="AC230" s="9" t="s">
        <v>34</v>
      </c>
      <c r="AD230" s="9" t="s">
        <v>34</v>
      </c>
      <c r="AE230" s="9" t="s">
        <v>34</v>
      </c>
      <c r="AF230" s="56" t="s">
        <v>34</v>
      </c>
      <c r="AG230" s="70"/>
      <c r="AH230" s="49"/>
      <c r="AI230" s="49"/>
      <c r="AJ230" s="49"/>
      <c r="AK230" s="49"/>
      <c r="AO230" s="78"/>
    </row>
    <row r="231" spans="1:41" ht="15.75" customHeight="1" thickBot="1">
      <c r="A231" s="119"/>
      <c r="B231" s="29" t="s">
        <v>251</v>
      </c>
      <c r="C231" s="20" t="s">
        <v>34</v>
      </c>
      <c r="D231" s="20" t="s">
        <v>34</v>
      </c>
      <c r="E231" s="20" t="s">
        <v>34</v>
      </c>
      <c r="F231" s="20" t="s">
        <v>34</v>
      </c>
      <c r="G231" s="20" t="s">
        <v>34</v>
      </c>
      <c r="H231" s="20" t="s">
        <v>34</v>
      </c>
      <c r="I231" s="20" t="s">
        <v>34</v>
      </c>
      <c r="J231" s="20" t="s">
        <v>34</v>
      </c>
      <c r="K231" s="20" t="s">
        <v>34</v>
      </c>
      <c r="L231" s="20" t="s">
        <v>34</v>
      </c>
      <c r="M231" s="20" t="s">
        <v>34</v>
      </c>
      <c r="N231" s="20" t="s">
        <v>34</v>
      </c>
      <c r="O231" s="20" t="s">
        <v>34</v>
      </c>
      <c r="P231" s="20" t="s">
        <v>34</v>
      </c>
      <c r="Q231" s="20" t="s">
        <v>34</v>
      </c>
      <c r="R231" s="20" t="s">
        <v>34</v>
      </c>
      <c r="S231" s="20" t="s">
        <v>34</v>
      </c>
      <c r="T231" s="20" t="s">
        <v>34</v>
      </c>
      <c r="U231" s="20" t="s">
        <v>34</v>
      </c>
      <c r="V231" s="20" t="s">
        <v>34</v>
      </c>
      <c r="W231" s="20" t="s">
        <v>34</v>
      </c>
      <c r="X231" s="20" t="s">
        <v>34</v>
      </c>
      <c r="Y231" s="20" t="s">
        <v>34</v>
      </c>
      <c r="Z231" s="20" t="s">
        <v>34</v>
      </c>
      <c r="AA231" s="20" t="s">
        <v>34</v>
      </c>
      <c r="AB231" s="20" t="s">
        <v>34</v>
      </c>
      <c r="AC231" s="20" t="s">
        <v>34</v>
      </c>
      <c r="AD231" s="20" t="s">
        <v>34</v>
      </c>
      <c r="AE231" s="20" t="s">
        <v>34</v>
      </c>
      <c r="AF231" s="57" t="s">
        <v>34</v>
      </c>
      <c r="AG231" s="70"/>
      <c r="AH231" s="49"/>
      <c r="AI231" s="49"/>
      <c r="AJ231" s="49"/>
      <c r="AK231" s="49"/>
      <c r="AO231" s="78"/>
    </row>
    <row r="232" spans="1:41" ht="15.75" customHeight="1" thickBot="1">
      <c r="A232" s="61"/>
      <c r="AF232" s="60"/>
      <c r="AG232" s="49"/>
      <c r="AH232" s="49"/>
      <c r="AI232" s="49"/>
      <c r="AJ232" s="49"/>
      <c r="AK232" s="49"/>
      <c r="AL232" s="49"/>
      <c r="AM232" s="49"/>
    </row>
    <row r="233" spans="1:41" ht="15.75" thickBot="1">
      <c r="A233" s="123" t="s">
        <v>252</v>
      </c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6"/>
      <c r="AG233" s="49"/>
      <c r="AH233" s="50"/>
      <c r="AI233" s="49"/>
      <c r="AJ233" s="49"/>
      <c r="AK233" s="49"/>
      <c r="AL233" s="49"/>
      <c r="AM233" s="49"/>
      <c r="AN233" s="49"/>
    </row>
    <row r="234" spans="1:41" ht="15" customHeight="1">
      <c r="A234" s="116" t="s">
        <v>253</v>
      </c>
      <c r="B234" s="30" t="s">
        <v>254</v>
      </c>
      <c r="C234" s="18" t="s">
        <v>33</v>
      </c>
      <c r="D234" s="18" t="s">
        <v>33</v>
      </c>
      <c r="E234" s="18" t="s">
        <v>33</v>
      </c>
      <c r="F234" s="18" t="s">
        <v>33</v>
      </c>
      <c r="G234" s="18" t="s">
        <v>33</v>
      </c>
      <c r="H234" s="18" t="s">
        <v>33</v>
      </c>
      <c r="I234" s="18" t="s">
        <v>33</v>
      </c>
      <c r="J234" s="18" t="s">
        <v>33</v>
      </c>
      <c r="K234" s="18" t="s">
        <v>33</v>
      </c>
      <c r="L234" s="18" t="s">
        <v>33</v>
      </c>
      <c r="M234" s="18" t="s">
        <v>33</v>
      </c>
      <c r="N234" s="18" t="s">
        <v>33</v>
      </c>
      <c r="O234" s="18" t="s">
        <v>33</v>
      </c>
      <c r="P234" s="18" t="s">
        <v>33</v>
      </c>
      <c r="Q234" s="18" t="s">
        <v>33</v>
      </c>
      <c r="R234" s="18" t="s">
        <v>33</v>
      </c>
      <c r="S234" s="18" t="s">
        <v>33</v>
      </c>
      <c r="T234" s="18" t="s">
        <v>33</v>
      </c>
      <c r="U234" s="18" t="s">
        <v>33</v>
      </c>
      <c r="V234" s="18" t="s">
        <v>33</v>
      </c>
      <c r="W234" s="18" t="s">
        <v>33</v>
      </c>
      <c r="X234" s="18" t="s">
        <v>33</v>
      </c>
      <c r="Y234" s="18" t="s">
        <v>33</v>
      </c>
      <c r="Z234" s="18" t="s">
        <v>33</v>
      </c>
      <c r="AA234" s="18" t="s">
        <v>33</v>
      </c>
      <c r="AB234" s="18" t="s">
        <v>33</v>
      </c>
      <c r="AC234" s="18" t="s">
        <v>33</v>
      </c>
      <c r="AD234" s="18" t="s">
        <v>33</v>
      </c>
      <c r="AE234" s="18" t="s">
        <v>33</v>
      </c>
      <c r="AF234" s="55" t="s">
        <v>33</v>
      </c>
      <c r="AG234" s="132" t="s">
        <v>359</v>
      </c>
      <c r="AH234" s="133" t="s">
        <v>360</v>
      </c>
      <c r="AI234" s="73" t="s">
        <v>361</v>
      </c>
      <c r="AJ234" s="75" t="s">
        <v>362</v>
      </c>
      <c r="AK234" s="85" t="s">
        <v>363</v>
      </c>
      <c r="AL234" s="83" t="s">
        <v>364</v>
      </c>
      <c r="AM234" s="81" t="s">
        <v>365</v>
      </c>
      <c r="AN234" s="79" t="s">
        <v>366</v>
      </c>
      <c r="AO234" s="77" t="s">
        <v>367</v>
      </c>
    </row>
    <row r="235" spans="1:41">
      <c r="A235" s="117"/>
      <c r="B235" s="7" t="s">
        <v>255</v>
      </c>
      <c r="C235" s="9" t="s">
        <v>33</v>
      </c>
      <c r="D235" s="9" t="s">
        <v>33</v>
      </c>
      <c r="E235" s="9" t="s">
        <v>33</v>
      </c>
      <c r="F235" s="9" t="s">
        <v>33</v>
      </c>
      <c r="G235" s="9" t="s">
        <v>33</v>
      </c>
      <c r="H235" s="9" t="s">
        <v>33</v>
      </c>
      <c r="I235" s="9" t="s">
        <v>33</v>
      </c>
      <c r="J235" s="9" t="s">
        <v>33</v>
      </c>
      <c r="K235" s="9" t="s">
        <v>33</v>
      </c>
      <c r="L235" s="9" t="s">
        <v>33</v>
      </c>
      <c r="M235" s="9" t="s">
        <v>33</v>
      </c>
      <c r="N235" s="9" t="s">
        <v>33</v>
      </c>
      <c r="O235" s="9" t="s">
        <v>33</v>
      </c>
      <c r="P235" s="9" t="s">
        <v>33</v>
      </c>
      <c r="Q235" s="9" t="s">
        <v>33</v>
      </c>
      <c r="R235" s="9" t="s">
        <v>33</v>
      </c>
      <c r="S235" s="9" t="s">
        <v>33</v>
      </c>
      <c r="T235" s="9" t="s">
        <v>33</v>
      </c>
      <c r="U235" s="9" t="s">
        <v>33</v>
      </c>
      <c r="V235" s="9" t="s">
        <v>33</v>
      </c>
      <c r="W235" s="9" t="s">
        <v>33</v>
      </c>
      <c r="X235" s="9" t="s">
        <v>33</v>
      </c>
      <c r="Y235" s="9" t="s">
        <v>33</v>
      </c>
      <c r="Z235" s="9" t="s">
        <v>33</v>
      </c>
      <c r="AA235" s="9" t="s">
        <v>33</v>
      </c>
      <c r="AB235" s="9" t="s">
        <v>33</v>
      </c>
      <c r="AC235" s="9" t="s">
        <v>33</v>
      </c>
      <c r="AD235" s="9" t="s">
        <v>33</v>
      </c>
      <c r="AE235" s="9" t="s">
        <v>33</v>
      </c>
      <c r="AF235" s="56" t="s">
        <v>303</v>
      </c>
      <c r="AG235" s="132"/>
      <c r="AH235" s="134"/>
      <c r="AI235" s="74"/>
      <c r="AJ235" s="76"/>
      <c r="AK235" s="86"/>
      <c r="AL235" s="84"/>
      <c r="AM235" s="82"/>
      <c r="AN235" s="80"/>
      <c r="AO235" s="78"/>
    </row>
    <row r="236" spans="1:41">
      <c r="A236" s="117"/>
      <c r="B236" s="7" t="s">
        <v>151</v>
      </c>
      <c r="C236" s="9" t="s">
        <v>33</v>
      </c>
      <c r="D236" s="9" t="s">
        <v>33</v>
      </c>
      <c r="E236" s="9" t="s">
        <v>33</v>
      </c>
      <c r="F236" s="9" t="s">
        <v>33</v>
      </c>
      <c r="G236" s="9" t="s">
        <v>33</v>
      </c>
      <c r="H236" s="9" t="s">
        <v>33</v>
      </c>
      <c r="I236" s="9" t="s">
        <v>33</v>
      </c>
      <c r="J236" s="9" t="s">
        <v>33</v>
      </c>
      <c r="K236" s="9" t="s">
        <v>33</v>
      </c>
      <c r="L236" s="9" t="s">
        <v>33</v>
      </c>
      <c r="M236" s="9" t="s">
        <v>33</v>
      </c>
      <c r="N236" s="9" t="s">
        <v>33</v>
      </c>
      <c r="O236" s="9" t="s">
        <v>33</v>
      </c>
      <c r="P236" s="9" t="s">
        <v>33</v>
      </c>
      <c r="Q236" s="9" t="s">
        <v>33</v>
      </c>
      <c r="R236" s="9" t="s">
        <v>33</v>
      </c>
      <c r="S236" s="9" t="s">
        <v>33</v>
      </c>
      <c r="T236" s="9" t="s">
        <v>33</v>
      </c>
      <c r="U236" s="9" t="s">
        <v>33</v>
      </c>
      <c r="V236" s="9" t="s">
        <v>33</v>
      </c>
      <c r="W236" s="9" t="s">
        <v>33</v>
      </c>
      <c r="X236" s="9" t="s">
        <v>33</v>
      </c>
      <c r="Y236" s="9" t="s">
        <v>33</v>
      </c>
      <c r="Z236" s="9" t="s">
        <v>33</v>
      </c>
      <c r="AA236" s="9" t="s">
        <v>33</v>
      </c>
      <c r="AB236" s="9" t="s">
        <v>33</v>
      </c>
      <c r="AC236" s="9" t="s">
        <v>33</v>
      </c>
      <c r="AD236" s="9" t="s">
        <v>33</v>
      </c>
      <c r="AE236" s="9" t="s">
        <v>303</v>
      </c>
      <c r="AF236" s="56" t="s">
        <v>303</v>
      </c>
      <c r="AG236" s="132"/>
      <c r="AH236" s="134"/>
      <c r="AI236" s="74"/>
      <c r="AJ236" s="76"/>
      <c r="AK236" s="86"/>
      <c r="AL236" s="84"/>
      <c r="AM236" s="82"/>
      <c r="AN236" s="80"/>
      <c r="AO236" s="78"/>
    </row>
    <row r="237" spans="1:41">
      <c r="A237" s="117"/>
      <c r="B237" s="7" t="s">
        <v>152</v>
      </c>
      <c r="C237" s="9" t="s">
        <v>33</v>
      </c>
      <c r="D237" s="9" t="s">
        <v>33</v>
      </c>
      <c r="E237" s="9" t="s">
        <v>33</v>
      </c>
      <c r="F237" s="9" t="s">
        <v>33</v>
      </c>
      <c r="G237" s="9" t="s">
        <v>33</v>
      </c>
      <c r="H237" s="9" t="s">
        <v>33</v>
      </c>
      <c r="I237" s="9" t="s">
        <v>33</v>
      </c>
      <c r="J237" s="9" t="s">
        <v>33</v>
      </c>
      <c r="K237" s="9" t="s">
        <v>33</v>
      </c>
      <c r="L237" s="9" t="s">
        <v>33</v>
      </c>
      <c r="M237" s="9" t="s">
        <v>33</v>
      </c>
      <c r="N237" s="9" t="s">
        <v>33</v>
      </c>
      <c r="O237" s="9" t="s">
        <v>33</v>
      </c>
      <c r="P237" s="9" t="s">
        <v>33</v>
      </c>
      <c r="Q237" s="9" t="s">
        <v>33</v>
      </c>
      <c r="R237" s="9" t="s">
        <v>33</v>
      </c>
      <c r="S237" s="9" t="s">
        <v>33</v>
      </c>
      <c r="T237" s="9" t="s">
        <v>33</v>
      </c>
      <c r="U237" s="9" t="s">
        <v>33</v>
      </c>
      <c r="V237" s="9" t="s">
        <v>33</v>
      </c>
      <c r="W237" s="9" t="s">
        <v>33</v>
      </c>
      <c r="X237" s="9" t="s">
        <v>33</v>
      </c>
      <c r="Y237" s="9" t="s">
        <v>33</v>
      </c>
      <c r="Z237" s="9" t="s">
        <v>33</v>
      </c>
      <c r="AA237" s="9" t="s">
        <v>33</v>
      </c>
      <c r="AB237" s="9" t="s">
        <v>33</v>
      </c>
      <c r="AC237" s="9" t="s">
        <v>33</v>
      </c>
      <c r="AD237" s="9" t="s">
        <v>303</v>
      </c>
      <c r="AE237" s="9" t="s">
        <v>303</v>
      </c>
      <c r="AF237" s="56" t="s">
        <v>303</v>
      </c>
      <c r="AG237" s="135"/>
      <c r="AH237" s="134"/>
      <c r="AI237" s="74"/>
      <c r="AJ237" s="76"/>
      <c r="AK237" s="86"/>
      <c r="AL237" s="84"/>
      <c r="AM237" s="82"/>
      <c r="AN237" s="80"/>
      <c r="AO237" s="78"/>
    </row>
    <row r="238" spans="1:41">
      <c r="A238" s="117"/>
      <c r="B238" s="7" t="s">
        <v>256</v>
      </c>
      <c r="C238" s="9" t="s">
        <v>33</v>
      </c>
      <c r="D238" s="9" t="s">
        <v>33</v>
      </c>
      <c r="E238" s="9" t="s">
        <v>33</v>
      </c>
      <c r="F238" s="9" t="s">
        <v>33</v>
      </c>
      <c r="G238" s="9" t="s">
        <v>33</v>
      </c>
      <c r="H238" s="9" t="s">
        <v>33</v>
      </c>
      <c r="I238" s="9" t="s">
        <v>33</v>
      </c>
      <c r="J238" s="9" t="s">
        <v>33</v>
      </c>
      <c r="K238" s="9" t="s">
        <v>33</v>
      </c>
      <c r="L238" s="9" t="s">
        <v>33</v>
      </c>
      <c r="M238" s="9" t="s">
        <v>33</v>
      </c>
      <c r="N238" s="9" t="s">
        <v>33</v>
      </c>
      <c r="O238" s="9" t="s">
        <v>33</v>
      </c>
      <c r="P238" s="9" t="s">
        <v>33</v>
      </c>
      <c r="Q238" s="9" t="s">
        <v>33</v>
      </c>
      <c r="R238" s="9" t="s">
        <v>33</v>
      </c>
      <c r="S238" s="9" t="s">
        <v>33</v>
      </c>
      <c r="T238" s="9" t="s">
        <v>33</v>
      </c>
      <c r="U238" s="9" t="s">
        <v>33</v>
      </c>
      <c r="V238" s="9" t="s">
        <v>299</v>
      </c>
      <c r="W238" s="9" t="s">
        <v>33</v>
      </c>
      <c r="X238" s="9" t="s">
        <v>33</v>
      </c>
      <c r="Y238" s="9" t="s">
        <v>33</v>
      </c>
      <c r="Z238" s="9" t="s">
        <v>299</v>
      </c>
      <c r="AA238" s="9" t="s">
        <v>33</v>
      </c>
      <c r="AB238" s="9" t="s">
        <v>33</v>
      </c>
      <c r="AC238" s="9" t="s">
        <v>33</v>
      </c>
      <c r="AD238" s="9" t="s">
        <v>303</v>
      </c>
      <c r="AE238" s="9" t="s">
        <v>34</v>
      </c>
      <c r="AF238" s="56" t="s">
        <v>34</v>
      </c>
      <c r="AG238" s="135"/>
      <c r="AH238" s="134"/>
      <c r="AI238" s="74"/>
      <c r="AJ238" s="76"/>
      <c r="AK238" s="86"/>
      <c r="AL238" s="84"/>
      <c r="AM238" s="82"/>
      <c r="AN238" s="80"/>
      <c r="AO238" s="78"/>
    </row>
    <row r="239" spans="1:41">
      <c r="A239" s="117"/>
      <c r="B239" s="7" t="s">
        <v>257</v>
      </c>
      <c r="C239" s="9" t="s">
        <v>33</v>
      </c>
      <c r="D239" s="9" t="s">
        <v>33</v>
      </c>
      <c r="E239" s="9" t="s">
        <v>33</v>
      </c>
      <c r="F239" s="9" t="s">
        <v>33</v>
      </c>
      <c r="G239" s="9" t="s">
        <v>33</v>
      </c>
      <c r="H239" s="9" t="s">
        <v>33</v>
      </c>
      <c r="I239" s="9" t="s">
        <v>33</v>
      </c>
      <c r="J239" s="9" t="s">
        <v>33</v>
      </c>
      <c r="K239" s="9" t="s">
        <v>33</v>
      </c>
      <c r="L239" s="9" t="s">
        <v>33</v>
      </c>
      <c r="M239" s="9" t="s">
        <v>33</v>
      </c>
      <c r="N239" s="9" t="s">
        <v>33</v>
      </c>
      <c r="O239" s="9" t="s">
        <v>33</v>
      </c>
      <c r="P239" s="9" t="s">
        <v>33</v>
      </c>
      <c r="Q239" s="9" t="s">
        <v>33</v>
      </c>
      <c r="R239" s="9" t="s">
        <v>33</v>
      </c>
      <c r="S239" s="9" t="s">
        <v>33</v>
      </c>
      <c r="T239" s="9" t="s">
        <v>33</v>
      </c>
      <c r="U239" s="9" t="s">
        <v>33</v>
      </c>
      <c r="V239" s="9" t="s">
        <v>33</v>
      </c>
      <c r="W239" s="9" t="s">
        <v>33</v>
      </c>
      <c r="X239" s="9" t="s">
        <v>33</v>
      </c>
      <c r="Y239" s="9" t="s">
        <v>33</v>
      </c>
      <c r="Z239" s="9" t="s">
        <v>33</v>
      </c>
      <c r="AA239" s="9" t="s">
        <v>33</v>
      </c>
      <c r="AB239" s="9" t="s">
        <v>299</v>
      </c>
      <c r="AC239" s="9" t="s">
        <v>33</v>
      </c>
      <c r="AD239" s="9" t="s">
        <v>303</v>
      </c>
      <c r="AE239" s="9" t="s">
        <v>34</v>
      </c>
      <c r="AF239" s="56" t="s">
        <v>34</v>
      </c>
      <c r="AG239" s="135"/>
      <c r="AH239" s="134"/>
      <c r="AI239" s="74"/>
      <c r="AJ239" s="76"/>
      <c r="AK239" s="86"/>
      <c r="AL239" s="84"/>
      <c r="AM239" s="82"/>
      <c r="AN239" s="80"/>
      <c r="AO239" s="78"/>
    </row>
    <row r="240" spans="1:41">
      <c r="A240" s="117"/>
      <c r="B240" s="7" t="s">
        <v>258</v>
      </c>
      <c r="C240" s="9" t="s">
        <v>33</v>
      </c>
      <c r="D240" s="9" t="s">
        <v>33</v>
      </c>
      <c r="E240" s="9" t="s">
        <v>33</v>
      </c>
      <c r="F240" s="9" t="s">
        <v>33</v>
      </c>
      <c r="G240" s="9" t="s">
        <v>33</v>
      </c>
      <c r="H240" s="9" t="s">
        <v>33</v>
      </c>
      <c r="I240" s="9" t="s">
        <v>33</v>
      </c>
      <c r="J240" s="9" t="s">
        <v>33</v>
      </c>
      <c r="K240" s="9" t="s">
        <v>33</v>
      </c>
      <c r="L240" s="9" t="s">
        <v>33</v>
      </c>
      <c r="M240" s="9" t="s">
        <v>33</v>
      </c>
      <c r="N240" s="9" t="s">
        <v>33</v>
      </c>
      <c r="O240" s="9" t="s">
        <v>33</v>
      </c>
      <c r="P240" s="9" t="s">
        <v>33</v>
      </c>
      <c r="Q240" s="9" t="s">
        <v>33</v>
      </c>
      <c r="R240" s="9" t="s">
        <v>33</v>
      </c>
      <c r="S240" s="9" t="s">
        <v>33</v>
      </c>
      <c r="T240" s="9" t="s">
        <v>33</v>
      </c>
      <c r="U240" s="9" t="s">
        <v>33</v>
      </c>
      <c r="V240" s="9" t="s">
        <v>33</v>
      </c>
      <c r="W240" s="9" t="s">
        <v>33</v>
      </c>
      <c r="X240" s="9" t="s">
        <v>33</v>
      </c>
      <c r="Y240" s="9" t="s">
        <v>33</v>
      </c>
      <c r="Z240" s="9" t="s">
        <v>33</v>
      </c>
      <c r="AA240" s="9" t="s">
        <v>33</v>
      </c>
      <c r="AB240" s="9" t="s">
        <v>33</v>
      </c>
      <c r="AC240" s="9" t="s">
        <v>303</v>
      </c>
      <c r="AD240" s="9" t="s">
        <v>34</v>
      </c>
      <c r="AE240" s="9" t="s">
        <v>34</v>
      </c>
      <c r="AF240" s="56" t="s">
        <v>34</v>
      </c>
      <c r="AG240" s="135"/>
      <c r="AH240" s="134"/>
      <c r="AI240" s="74"/>
      <c r="AJ240" s="76"/>
      <c r="AK240" s="86"/>
      <c r="AL240" s="84"/>
      <c r="AM240" s="82"/>
      <c r="AN240" s="80"/>
      <c r="AO240" s="78"/>
    </row>
    <row r="241" spans="1:41">
      <c r="A241" s="117"/>
      <c r="B241" s="7" t="s">
        <v>259</v>
      </c>
      <c r="C241" s="9" t="s">
        <v>33</v>
      </c>
      <c r="D241" s="9" t="s">
        <v>33</v>
      </c>
      <c r="E241" s="9" t="s">
        <v>33</v>
      </c>
      <c r="F241" s="9" t="s">
        <v>33</v>
      </c>
      <c r="G241" s="9" t="s">
        <v>33</v>
      </c>
      <c r="H241" s="9" t="s">
        <v>33</v>
      </c>
      <c r="I241" s="9" t="s">
        <v>33</v>
      </c>
      <c r="J241" s="9" t="s">
        <v>33</v>
      </c>
      <c r="K241" s="9" t="s">
        <v>33</v>
      </c>
      <c r="L241" s="9" t="s">
        <v>33</v>
      </c>
      <c r="M241" s="9" t="s">
        <v>33</v>
      </c>
      <c r="N241" s="9" t="s">
        <v>33</v>
      </c>
      <c r="O241" s="9" t="s">
        <v>33</v>
      </c>
      <c r="P241" s="9" t="s">
        <v>33</v>
      </c>
      <c r="Q241" s="9" t="s">
        <v>33</v>
      </c>
      <c r="R241" s="9" t="s">
        <v>303</v>
      </c>
      <c r="S241" s="9" t="s">
        <v>303</v>
      </c>
      <c r="T241" s="9" t="s">
        <v>303</v>
      </c>
      <c r="U241" s="9" t="s">
        <v>303</v>
      </c>
      <c r="V241" s="9" t="s">
        <v>303</v>
      </c>
      <c r="W241" s="9" t="s">
        <v>303</v>
      </c>
      <c r="X241" s="9" t="s">
        <v>303</v>
      </c>
      <c r="Y241" s="9" t="s">
        <v>303</v>
      </c>
      <c r="Z241" s="9" t="s">
        <v>303</v>
      </c>
      <c r="AA241" s="9" t="s">
        <v>303</v>
      </c>
      <c r="AB241" s="9" t="s">
        <v>303</v>
      </c>
      <c r="AC241" s="9" t="s">
        <v>34</v>
      </c>
      <c r="AD241" s="9" t="s">
        <v>34</v>
      </c>
      <c r="AE241" s="9" t="s">
        <v>34</v>
      </c>
      <c r="AF241" s="56" t="s">
        <v>34</v>
      </c>
      <c r="AG241" s="135"/>
      <c r="AH241" s="49"/>
      <c r="AI241" s="74"/>
      <c r="AJ241" s="76"/>
      <c r="AK241" s="86"/>
      <c r="AL241" s="84"/>
      <c r="AM241" s="82"/>
      <c r="AN241" s="80"/>
      <c r="AO241" s="78"/>
    </row>
    <row r="242" spans="1:41">
      <c r="A242" s="117"/>
      <c r="B242" s="7" t="s">
        <v>260</v>
      </c>
      <c r="C242" s="9" t="s">
        <v>33</v>
      </c>
      <c r="D242" s="9" t="s">
        <v>33</v>
      </c>
      <c r="E242" s="9" t="s">
        <v>33</v>
      </c>
      <c r="F242" s="9" t="s">
        <v>33</v>
      </c>
      <c r="G242" s="9" t="s">
        <v>33</v>
      </c>
      <c r="H242" s="9" t="s">
        <v>33</v>
      </c>
      <c r="I242" s="9" t="s">
        <v>33</v>
      </c>
      <c r="J242" s="9" t="s">
        <v>33</v>
      </c>
      <c r="K242" s="9" t="s">
        <v>33</v>
      </c>
      <c r="L242" s="9" t="s">
        <v>303</v>
      </c>
      <c r="M242" s="9" t="s">
        <v>33</v>
      </c>
      <c r="N242" s="9" t="s">
        <v>33</v>
      </c>
      <c r="O242" s="9" t="s">
        <v>33</v>
      </c>
      <c r="P242" s="9" t="s">
        <v>33</v>
      </c>
      <c r="Q242" s="9" t="s">
        <v>33</v>
      </c>
      <c r="R242" s="9" t="s">
        <v>303</v>
      </c>
      <c r="S242" s="9" t="s">
        <v>303</v>
      </c>
      <c r="T242" s="9" t="s">
        <v>303</v>
      </c>
      <c r="U242" s="9" t="s">
        <v>303</v>
      </c>
      <c r="V242" s="9" t="s">
        <v>303</v>
      </c>
      <c r="W242" s="9" t="s">
        <v>303</v>
      </c>
      <c r="X242" s="9" t="s">
        <v>303</v>
      </c>
      <c r="Y242" s="9" t="s">
        <v>303</v>
      </c>
      <c r="Z242" s="9" t="s">
        <v>303</v>
      </c>
      <c r="AA242" s="9" t="s">
        <v>303</v>
      </c>
      <c r="AB242" s="9" t="s">
        <v>303</v>
      </c>
      <c r="AC242" s="9" t="s">
        <v>303</v>
      </c>
      <c r="AD242" s="9" t="s">
        <v>34</v>
      </c>
      <c r="AE242" s="9" t="s">
        <v>34</v>
      </c>
      <c r="AF242" s="56" t="s">
        <v>34</v>
      </c>
      <c r="AG242" s="135"/>
      <c r="AH242" s="49"/>
      <c r="AI242" s="74"/>
      <c r="AJ242" s="76"/>
      <c r="AK242" s="86"/>
      <c r="AL242" s="84"/>
      <c r="AM242" s="82"/>
      <c r="AN242" s="80"/>
      <c r="AO242" s="78"/>
    </row>
    <row r="243" spans="1:41">
      <c r="A243" s="117"/>
      <c r="B243" s="7" t="s">
        <v>261</v>
      </c>
      <c r="C243" s="9" t="s">
        <v>33</v>
      </c>
      <c r="D243" s="9" t="s">
        <v>33</v>
      </c>
      <c r="E243" s="9" t="s">
        <v>33</v>
      </c>
      <c r="F243" s="9" t="s">
        <v>33</v>
      </c>
      <c r="G243" s="9" t="s">
        <v>33</v>
      </c>
      <c r="H243" s="9" t="s">
        <v>33</v>
      </c>
      <c r="I243" s="9" t="s">
        <v>33</v>
      </c>
      <c r="J243" s="9" t="s">
        <v>33</v>
      </c>
      <c r="K243" s="9" t="s">
        <v>33</v>
      </c>
      <c r="L243" s="9" t="s">
        <v>33</v>
      </c>
      <c r="M243" s="9" t="s">
        <v>33</v>
      </c>
      <c r="N243" s="9" t="s">
        <v>33</v>
      </c>
      <c r="O243" s="9" t="s">
        <v>33</v>
      </c>
      <c r="P243" s="9" t="s">
        <v>303</v>
      </c>
      <c r="Q243" s="9" t="s">
        <v>33</v>
      </c>
      <c r="R243" s="9" t="s">
        <v>303</v>
      </c>
      <c r="S243" s="9" t="s">
        <v>303</v>
      </c>
      <c r="T243" s="9" t="s">
        <v>303</v>
      </c>
      <c r="U243" s="9" t="s">
        <v>303</v>
      </c>
      <c r="V243" s="9" t="s">
        <v>303</v>
      </c>
      <c r="W243" s="9" t="s">
        <v>303</v>
      </c>
      <c r="X243" s="9" t="s">
        <v>303</v>
      </c>
      <c r="Y243" s="9" t="s">
        <v>303</v>
      </c>
      <c r="Z243" s="9" t="s">
        <v>303</v>
      </c>
      <c r="AA243" s="9" t="s">
        <v>303</v>
      </c>
      <c r="AB243" s="9" t="s">
        <v>303</v>
      </c>
      <c r="AC243" s="9" t="s">
        <v>34</v>
      </c>
      <c r="AD243" s="9" t="s">
        <v>34</v>
      </c>
      <c r="AE243" s="9" t="s">
        <v>34</v>
      </c>
      <c r="AF243" s="56" t="s">
        <v>34</v>
      </c>
      <c r="AG243" s="135"/>
      <c r="AH243" s="49"/>
      <c r="AI243" s="74"/>
      <c r="AJ243" s="76"/>
      <c r="AK243" s="86"/>
      <c r="AL243" s="84"/>
      <c r="AM243" s="82"/>
      <c r="AN243" s="80"/>
      <c r="AO243" s="78"/>
    </row>
    <row r="244" spans="1:41">
      <c r="A244" s="117"/>
      <c r="B244" s="7" t="s">
        <v>164</v>
      </c>
      <c r="C244" s="9" t="s">
        <v>33</v>
      </c>
      <c r="D244" s="9" t="s">
        <v>33</v>
      </c>
      <c r="E244" s="9" t="s">
        <v>33</v>
      </c>
      <c r="F244" s="9" t="s">
        <v>33</v>
      </c>
      <c r="G244" s="9" t="s">
        <v>33</v>
      </c>
      <c r="H244" s="9" t="s">
        <v>33</v>
      </c>
      <c r="I244" s="9" t="s">
        <v>33</v>
      </c>
      <c r="J244" s="9" t="s">
        <v>33</v>
      </c>
      <c r="K244" s="9" t="s">
        <v>33</v>
      </c>
      <c r="L244" s="9" t="s">
        <v>33</v>
      </c>
      <c r="M244" s="9" t="s">
        <v>33</v>
      </c>
      <c r="N244" s="9" t="s">
        <v>33</v>
      </c>
      <c r="O244" s="9" t="s">
        <v>33</v>
      </c>
      <c r="P244" s="9" t="s">
        <v>303</v>
      </c>
      <c r="Q244" s="9" t="s">
        <v>33</v>
      </c>
      <c r="R244" s="9" t="s">
        <v>303</v>
      </c>
      <c r="S244" s="9" t="s">
        <v>303</v>
      </c>
      <c r="T244" s="9" t="s">
        <v>303</v>
      </c>
      <c r="U244" s="9" t="s">
        <v>303</v>
      </c>
      <c r="V244" s="9" t="s">
        <v>303</v>
      </c>
      <c r="W244" s="9" t="s">
        <v>303</v>
      </c>
      <c r="X244" s="9" t="s">
        <v>303</v>
      </c>
      <c r="Y244" s="9" t="s">
        <v>303</v>
      </c>
      <c r="Z244" s="9" t="s">
        <v>303</v>
      </c>
      <c r="AA244" s="9" t="s">
        <v>303</v>
      </c>
      <c r="AB244" s="9" t="s">
        <v>303</v>
      </c>
      <c r="AC244" s="9" t="s">
        <v>34</v>
      </c>
      <c r="AD244" s="9" t="s">
        <v>34</v>
      </c>
      <c r="AE244" s="9" t="s">
        <v>34</v>
      </c>
      <c r="AF244" s="56" t="s">
        <v>34</v>
      </c>
      <c r="AG244" s="135"/>
      <c r="AH244" s="49"/>
      <c r="AI244" s="74"/>
      <c r="AJ244" s="76"/>
      <c r="AK244" s="86"/>
      <c r="AL244" s="84"/>
      <c r="AM244" s="82"/>
      <c r="AN244" s="80"/>
      <c r="AO244" s="78"/>
    </row>
    <row r="245" spans="1:41">
      <c r="A245" s="117"/>
      <c r="B245" s="7" t="s">
        <v>262</v>
      </c>
      <c r="C245" s="9" t="s">
        <v>33</v>
      </c>
      <c r="D245" s="9" t="s">
        <v>33</v>
      </c>
      <c r="E245" s="9" t="s">
        <v>33</v>
      </c>
      <c r="F245" s="9" t="s">
        <v>33</v>
      </c>
      <c r="G245" s="9" t="s">
        <v>33</v>
      </c>
      <c r="H245" s="9" t="s">
        <v>33</v>
      </c>
      <c r="I245" s="9" t="s">
        <v>33</v>
      </c>
      <c r="J245" s="9" t="s">
        <v>33</v>
      </c>
      <c r="K245" s="9" t="s">
        <v>33</v>
      </c>
      <c r="L245" s="9" t="s">
        <v>33</v>
      </c>
      <c r="M245" s="9" t="s">
        <v>33</v>
      </c>
      <c r="N245" s="9" t="s">
        <v>33</v>
      </c>
      <c r="O245" s="9" t="s">
        <v>33</v>
      </c>
      <c r="P245" s="9" t="s">
        <v>303</v>
      </c>
      <c r="Q245" s="9" t="s">
        <v>303</v>
      </c>
      <c r="R245" s="9" t="s">
        <v>34</v>
      </c>
      <c r="S245" s="9" t="s">
        <v>34</v>
      </c>
      <c r="T245" s="9" t="s">
        <v>34</v>
      </c>
      <c r="U245" s="9" t="s">
        <v>34</v>
      </c>
      <c r="V245" s="9" t="s">
        <v>34</v>
      </c>
      <c r="W245" s="9" t="s">
        <v>34</v>
      </c>
      <c r="X245" s="9" t="s">
        <v>34</v>
      </c>
      <c r="Y245" s="9" t="s">
        <v>34</v>
      </c>
      <c r="Z245" s="9" t="s">
        <v>34</v>
      </c>
      <c r="AA245" s="9" t="s">
        <v>34</v>
      </c>
      <c r="AB245" s="9" t="s">
        <v>34</v>
      </c>
      <c r="AC245" s="9" t="s">
        <v>34</v>
      </c>
      <c r="AD245" s="9" t="s">
        <v>34</v>
      </c>
      <c r="AE245" s="9" t="s">
        <v>34</v>
      </c>
      <c r="AF245" s="56" t="s">
        <v>34</v>
      </c>
      <c r="AG245" s="135"/>
      <c r="AH245" s="49"/>
      <c r="AI245" s="49"/>
      <c r="AJ245" s="76"/>
      <c r="AK245" s="86"/>
      <c r="AL245" s="84"/>
      <c r="AM245" s="82"/>
      <c r="AN245" s="80"/>
      <c r="AO245" s="78"/>
    </row>
    <row r="246" spans="1:41">
      <c r="A246" s="117"/>
      <c r="B246" s="7" t="s">
        <v>228</v>
      </c>
      <c r="C246" s="9" t="s">
        <v>33</v>
      </c>
      <c r="D246" s="9" t="s">
        <v>33</v>
      </c>
      <c r="E246" s="9" t="s">
        <v>33</v>
      </c>
      <c r="F246" s="9" t="s">
        <v>33</v>
      </c>
      <c r="G246" s="9" t="s">
        <v>33</v>
      </c>
      <c r="H246" s="9" t="s">
        <v>33</v>
      </c>
      <c r="I246" s="9" t="s">
        <v>33</v>
      </c>
      <c r="J246" s="9" t="s">
        <v>33</v>
      </c>
      <c r="K246" s="9" t="s">
        <v>33</v>
      </c>
      <c r="L246" s="9" t="s">
        <v>303</v>
      </c>
      <c r="M246" s="9" t="s">
        <v>33</v>
      </c>
      <c r="N246" s="9" t="s">
        <v>33</v>
      </c>
      <c r="O246" s="9" t="s">
        <v>303</v>
      </c>
      <c r="P246" s="9" t="s">
        <v>303</v>
      </c>
      <c r="Q246" s="9" t="s">
        <v>303</v>
      </c>
      <c r="R246" s="9" t="s">
        <v>34</v>
      </c>
      <c r="S246" s="9" t="s">
        <v>34</v>
      </c>
      <c r="T246" s="9" t="s">
        <v>34</v>
      </c>
      <c r="U246" s="9" t="s">
        <v>34</v>
      </c>
      <c r="V246" s="9" t="s">
        <v>34</v>
      </c>
      <c r="W246" s="9" t="s">
        <v>34</v>
      </c>
      <c r="X246" s="9" t="s">
        <v>34</v>
      </c>
      <c r="Y246" s="9" t="s">
        <v>34</v>
      </c>
      <c r="Z246" s="9" t="s">
        <v>34</v>
      </c>
      <c r="AA246" s="9" t="s">
        <v>34</v>
      </c>
      <c r="AB246" s="9" t="s">
        <v>34</v>
      </c>
      <c r="AC246" s="9" t="s">
        <v>34</v>
      </c>
      <c r="AD246" s="9" t="s">
        <v>34</v>
      </c>
      <c r="AE246" s="9" t="s">
        <v>34</v>
      </c>
      <c r="AF246" s="56" t="s">
        <v>34</v>
      </c>
      <c r="AG246" s="135"/>
      <c r="AH246" s="49"/>
      <c r="AI246" s="49"/>
      <c r="AJ246" s="76"/>
      <c r="AK246" s="86"/>
      <c r="AL246" s="84"/>
      <c r="AM246" s="82"/>
      <c r="AN246" s="80"/>
      <c r="AO246" s="78"/>
    </row>
    <row r="247" spans="1:41">
      <c r="A247" s="117"/>
      <c r="B247" s="7" t="s">
        <v>263</v>
      </c>
      <c r="C247" s="9" t="s">
        <v>33</v>
      </c>
      <c r="D247" s="9" t="s">
        <v>33</v>
      </c>
      <c r="E247" s="9" t="s">
        <v>33</v>
      </c>
      <c r="F247" s="9" t="s">
        <v>303</v>
      </c>
      <c r="G247" s="9" t="s">
        <v>33</v>
      </c>
      <c r="H247" s="9" t="s">
        <v>303</v>
      </c>
      <c r="I247" s="9" t="s">
        <v>33</v>
      </c>
      <c r="J247" s="9" t="s">
        <v>303</v>
      </c>
      <c r="K247" s="9" t="s">
        <v>303</v>
      </c>
      <c r="L247" s="9" t="s">
        <v>34</v>
      </c>
      <c r="M247" s="9" t="s">
        <v>33</v>
      </c>
      <c r="N247" s="9" t="s">
        <v>303</v>
      </c>
      <c r="O247" s="9" t="s">
        <v>34</v>
      </c>
      <c r="P247" s="9" t="s">
        <v>34</v>
      </c>
      <c r="Q247" s="9" t="s">
        <v>303</v>
      </c>
      <c r="R247" s="9" t="s">
        <v>34</v>
      </c>
      <c r="S247" s="9" t="s">
        <v>34</v>
      </c>
      <c r="T247" s="9" t="s">
        <v>34</v>
      </c>
      <c r="U247" s="9" t="s">
        <v>34</v>
      </c>
      <c r="V247" s="9" t="s">
        <v>34</v>
      </c>
      <c r="W247" s="9" t="s">
        <v>34</v>
      </c>
      <c r="X247" s="9" t="s">
        <v>34</v>
      </c>
      <c r="Y247" s="9" t="s">
        <v>34</v>
      </c>
      <c r="Z247" s="9" t="s">
        <v>34</v>
      </c>
      <c r="AA247" s="9" t="s">
        <v>34</v>
      </c>
      <c r="AB247" s="9" t="s">
        <v>34</v>
      </c>
      <c r="AC247" s="9" t="s">
        <v>34</v>
      </c>
      <c r="AD247" s="9" t="s">
        <v>34</v>
      </c>
      <c r="AE247" s="9" t="s">
        <v>34</v>
      </c>
      <c r="AF247" s="56" t="s">
        <v>34</v>
      </c>
      <c r="AG247" s="135"/>
      <c r="AH247" s="49"/>
      <c r="AI247" s="49"/>
      <c r="AJ247" s="76"/>
      <c r="AK247" s="86"/>
      <c r="AL247" s="84"/>
      <c r="AM247" s="82"/>
      <c r="AN247" s="80"/>
      <c r="AO247" s="78"/>
    </row>
    <row r="248" spans="1:41">
      <c r="A248" s="117"/>
      <c r="B248" s="7" t="s">
        <v>264</v>
      </c>
      <c r="C248" s="9" t="s">
        <v>33</v>
      </c>
      <c r="D248" s="9" t="s">
        <v>33</v>
      </c>
      <c r="E248" s="9" t="s">
        <v>33</v>
      </c>
      <c r="F248" s="9" t="s">
        <v>33</v>
      </c>
      <c r="G248" s="9" t="s">
        <v>33</v>
      </c>
      <c r="H248" s="9" t="s">
        <v>33</v>
      </c>
      <c r="I248" s="9" t="s">
        <v>33</v>
      </c>
      <c r="J248" s="9" t="s">
        <v>303</v>
      </c>
      <c r="K248" s="9" t="s">
        <v>33</v>
      </c>
      <c r="L248" s="9" t="s">
        <v>34</v>
      </c>
      <c r="M248" s="9" t="s">
        <v>33</v>
      </c>
      <c r="N248" s="9" t="s">
        <v>33</v>
      </c>
      <c r="O248" s="9" t="s">
        <v>303</v>
      </c>
      <c r="P248" s="9" t="s">
        <v>34</v>
      </c>
      <c r="Q248" s="9" t="s">
        <v>34</v>
      </c>
      <c r="R248" s="9" t="s">
        <v>34</v>
      </c>
      <c r="S248" s="9" t="s">
        <v>34</v>
      </c>
      <c r="T248" s="9" t="s">
        <v>34</v>
      </c>
      <c r="U248" s="9" t="s">
        <v>34</v>
      </c>
      <c r="V248" s="9" t="s">
        <v>34</v>
      </c>
      <c r="W248" s="9" t="s">
        <v>34</v>
      </c>
      <c r="X248" s="9" t="s">
        <v>34</v>
      </c>
      <c r="Y248" s="9" t="s">
        <v>34</v>
      </c>
      <c r="Z248" s="9" t="s">
        <v>34</v>
      </c>
      <c r="AA248" s="9" t="s">
        <v>34</v>
      </c>
      <c r="AB248" s="9" t="s">
        <v>34</v>
      </c>
      <c r="AC248" s="9" t="s">
        <v>34</v>
      </c>
      <c r="AD248" s="9" t="s">
        <v>34</v>
      </c>
      <c r="AE248" s="9" t="s">
        <v>34</v>
      </c>
      <c r="AF248" s="56" t="s">
        <v>34</v>
      </c>
      <c r="AG248" s="135"/>
      <c r="AH248" s="50"/>
      <c r="AI248" s="49"/>
      <c r="AJ248" s="49"/>
      <c r="AK248" s="86"/>
      <c r="AL248" s="84"/>
      <c r="AM248" s="82"/>
      <c r="AN248" s="80"/>
      <c r="AO248" s="78"/>
    </row>
    <row r="249" spans="1:41">
      <c r="A249" s="117"/>
      <c r="B249" s="7" t="s">
        <v>265</v>
      </c>
      <c r="C249" s="9" t="s">
        <v>33</v>
      </c>
      <c r="D249" s="9" t="s">
        <v>33</v>
      </c>
      <c r="E249" s="9" t="s">
        <v>33</v>
      </c>
      <c r="F249" s="9" t="s">
        <v>303</v>
      </c>
      <c r="G249" s="9" t="s">
        <v>303</v>
      </c>
      <c r="H249" s="9" t="s">
        <v>303</v>
      </c>
      <c r="I249" s="9" t="s">
        <v>303</v>
      </c>
      <c r="J249" s="9" t="s">
        <v>303</v>
      </c>
      <c r="K249" s="9" t="s">
        <v>303</v>
      </c>
      <c r="L249" s="9" t="s">
        <v>34</v>
      </c>
      <c r="M249" s="9" t="s">
        <v>34</v>
      </c>
      <c r="N249" s="9" t="s">
        <v>34</v>
      </c>
      <c r="O249" s="9" t="s">
        <v>34</v>
      </c>
      <c r="P249" s="9" t="s">
        <v>34</v>
      </c>
      <c r="Q249" s="9" t="s">
        <v>34</v>
      </c>
      <c r="R249" s="9" t="s">
        <v>34</v>
      </c>
      <c r="S249" s="9" t="s">
        <v>34</v>
      </c>
      <c r="T249" s="9" t="s">
        <v>34</v>
      </c>
      <c r="U249" s="9" t="s">
        <v>34</v>
      </c>
      <c r="V249" s="9" t="s">
        <v>34</v>
      </c>
      <c r="W249" s="9" t="s">
        <v>34</v>
      </c>
      <c r="X249" s="9" t="s">
        <v>34</v>
      </c>
      <c r="Y249" s="9" t="s">
        <v>34</v>
      </c>
      <c r="Z249" s="9" t="s">
        <v>34</v>
      </c>
      <c r="AA249" s="9" t="s">
        <v>34</v>
      </c>
      <c r="AB249" s="9" t="s">
        <v>34</v>
      </c>
      <c r="AC249" s="9" t="s">
        <v>34</v>
      </c>
      <c r="AD249" s="9" t="s">
        <v>34</v>
      </c>
      <c r="AE249" s="9" t="s">
        <v>34</v>
      </c>
      <c r="AF249" s="56" t="s">
        <v>34</v>
      </c>
      <c r="AG249" s="135"/>
      <c r="AL249" s="84"/>
      <c r="AM249" s="82"/>
      <c r="AN249" s="80"/>
      <c r="AO249" s="78"/>
    </row>
    <row r="250" spans="1:41">
      <c r="A250" s="117"/>
      <c r="B250" s="7" t="s">
        <v>266</v>
      </c>
      <c r="C250" s="9" t="s">
        <v>33</v>
      </c>
      <c r="D250" s="9" t="s">
        <v>299</v>
      </c>
      <c r="E250" s="9" t="s">
        <v>299</v>
      </c>
      <c r="F250" s="9" t="s">
        <v>33</v>
      </c>
      <c r="G250" s="9" t="s">
        <v>299</v>
      </c>
      <c r="H250" s="9" t="s">
        <v>299</v>
      </c>
      <c r="I250" s="9" t="s">
        <v>303</v>
      </c>
      <c r="J250" s="9" t="s">
        <v>303</v>
      </c>
      <c r="K250" s="9" t="s">
        <v>303</v>
      </c>
      <c r="L250" s="9" t="s">
        <v>34</v>
      </c>
      <c r="M250" s="9" t="s">
        <v>34</v>
      </c>
      <c r="N250" s="9" t="s">
        <v>34</v>
      </c>
      <c r="O250" s="9" t="s">
        <v>34</v>
      </c>
      <c r="P250" s="9" t="s">
        <v>34</v>
      </c>
      <c r="Q250" s="9" t="s">
        <v>34</v>
      </c>
      <c r="R250" s="9" t="s">
        <v>34</v>
      </c>
      <c r="S250" s="9" t="s">
        <v>34</v>
      </c>
      <c r="T250" s="9" t="s">
        <v>34</v>
      </c>
      <c r="U250" s="9" t="s">
        <v>34</v>
      </c>
      <c r="V250" s="9" t="s">
        <v>34</v>
      </c>
      <c r="W250" s="9" t="s">
        <v>34</v>
      </c>
      <c r="X250" s="9" t="s">
        <v>34</v>
      </c>
      <c r="Y250" s="9" t="s">
        <v>34</v>
      </c>
      <c r="Z250" s="9" t="s">
        <v>34</v>
      </c>
      <c r="AA250" s="9" t="s">
        <v>34</v>
      </c>
      <c r="AB250" s="9" t="s">
        <v>34</v>
      </c>
      <c r="AC250" s="9" t="s">
        <v>34</v>
      </c>
      <c r="AD250" s="9" t="s">
        <v>34</v>
      </c>
      <c r="AE250" s="9" t="s">
        <v>34</v>
      </c>
      <c r="AF250" s="56" t="s">
        <v>34</v>
      </c>
      <c r="AG250" s="135"/>
      <c r="AM250" s="82"/>
      <c r="AN250" s="80"/>
      <c r="AO250" s="78"/>
    </row>
    <row r="251" spans="1:41">
      <c r="A251" s="117"/>
      <c r="B251" s="7" t="s">
        <v>267</v>
      </c>
      <c r="C251" s="9" t="s">
        <v>299</v>
      </c>
      <c r="D251" s="9" t="s">
        <v>33</v>
      </c>
      <c r="E251" s="9" t="s">
        <v>299</v>
      </c>
      <c r="F251" s="9" t="s">
        <v>303</v>
      </c>
      <c r="G251" s="9" t="s">
        <v>303</v>
      </c>
      <c r="H251" s="9" t="s">
        <v>34</v>
      </c>
      <c r="I251" s="9" t="s">
        <v>34</v>
      </c>
      <c r="J251" s="9" t="s">
        <v>34</v>
      </c>
      <c r="K251" s="9" t="s">
        <v>34</v>
      </c>
      <c r="L251" s="9" t="s">
        <v>34</v>
      </c>
      <c r="M251" s="9" t="s">
        <v>34</v>
      </c>
      <c r="N251" s="9" t="s">
        <v>34</v>
      </c>
      <c r="O251" s="9" t="s">
        <v>34</v>
      </c>
      <c r="P251" s="9" t="s">
        <v>34</v>
      </c>
      <c r="Q251" s="9" t="s">
        <v>34</v>
      </c>
      <c r="R251" s="9" t="s">
        <v>34</v>
      </c>
      <c r="S251" s="9" t="s">
        <v>34</v>
      </c>
      <c r="T251" s="9" t="s">
        <v>34</v>
      </c>
      <c r="U251" s="9" t="s">
        <v>34</v>
      </c>
      <c r="V251" s="9" t="s">
        <v>34</v>
      </c>
      <c r="W251" s="9" t="s">
        <v>34</v>
      </c>
      <c r="X251" s="9" t="s">
        <v>34</v>
      </c>
      <c r="Y251" s="9" t="s">
        <v>34</v>
      </c>
      <c r="Z251" s="9" t="s">
        <v>34</v>
      </c>
      <c r="AA251" s="9" t="s">
        <v>34</v>
      </c>
      <c r="AB251" s="9" t="s">
        <v>34</v>
      </c>
      <c r="AC251" s="9" t="s">
        <v>34</v>
      </c>
      <c r="AD251" s="9" t="s">
        <v>34</v>
      </c>
      <c r="AE251" s="9" t="s">
        <v>34</v>
      </c>
      <c r="AF251" s="56" t="s">
        <v>34</v>
      </c>
      <c r="AG251" s="135"/>
      <c r="AN251" s="80"/>
      <c r="AO251" s="78"/>
    </row>
    <row r="252" spans="1:41">
      <c r="A252" s="117"/>
      <c r="B252" s="7" t="s">
        <v>268</v>
      </c>
      <c r="C252" s="9" t="s">
        <v>303</v>
      </c>
      <c r="D252" s="9" t="s">
        <v>299</v>
      </c>
      <c r="E252" s="9" t="s">
        <v>33</v>
      </c>
      <c r="F252" s="9" t="s">
        <v>299</v>
      </c>
      <c r="G252" s="9" t="s">
        <v>303</v>
      </c>
      <c r="H252" s="9" t="s">
        <v>303</v>
      </c>
      <c r="I252" s="9" t="s">
        <v>303</v>
      </c>
      <c r="J252" s="9" t="s">
        <v>34</v>
      </c>
      <c r="K252" s="9" t="s">
        <v>34</v>
      </c>
      <c r="L252" s="9" t="s">
        <v>34</v>
      </c>
      <c r="M252" s="9" t="s">
        <v>34</v>
      </c>
      <c r="N252" s="9" t="s">
        <v>34</v>
      </c>
      <c r="O252" s="9" t="s">
        <v>34</v>
      </c>
      <c r="P252" s="9" t="s">
        <v>34</v>
      </c>
      <c r="Q252" s="9" t="s">
        <v>34</v>
      </c>
      <c r="R252" s="9" t="s">
        <v>34</v>
      </c>
      <c r="S252" s="9" t="s">
        <v>34</v>
      </c>
      <c r="T252" s="9" t="s">
        <v>34</v>
      </c>
      <c r="U252" s="9" t="s">
        <v>34</v>
      </c>
      <c r="V252" s="9" t="s">
        <v>34</v>
      </c>
      <c r="W252" s="9" t="s">
        <v>34</v>
      </c>
      <c r="X252" s="9" t="s">
        <v>34</v>
      </c>
      <c r="Y252" s="9" t="s">
        <v>34</v>
      </c>
      <c r="Z252" s="9" t="s">
        <v>34</v>
      </c>
      <c r="AA252" s="9" t="s">
        <v>34</v>
      </c>
      <c r="AB252" s="9" t="s">
        <v>34</v>
      </c>
      <c r="AC252" s="9" t="s">
        <v>34</v>
      </c>
      <c r="AD252" s="9" t="s">
        <v>34</v>
      </c>
      <c r="AE252" s="9" t="s">
        <v>34</v>
      </c>
      <c r="AF252" s="56" t="s">
        <v>34</v>
      </c>
      <c r="AG252" s="135"/>
      <c r="AN252" s="80"/>
      <c r="AO252" s="78"/>
    </row>
    <row r="253" spans="1:41">
      <c r="A253" s="117"/>
      <c r="B253" s="7" t="s">
        <v>269</v>
      </c>
      <c r="C253" s="9" t="s">
        <v>299</v>
      </c>
      <c r="D253" s="9" t="s">
        <v>303</v>
      </c>
      <c r="E253" s="9" t="s">
        <v>34</v>
      </c>
      <c r="F253" s="9" t="s">
        <v>34</v>
      </c>
      <c r="G253" s="9" t="s">
        <v>34</v>
      </c>
      <c r="H253" s="9" t="s">
        <v>34</v>
      </c>
      <c r="I253" s="9" t="s">
        <v>34</v>
      </c>
      <c r="J253" s="9" t="s">
        <v>34</v>
      </c>
      <c r="K253" s="9" t="s">
        <v>34</v>
      </c>
      <c r="L253" s="9" t="s">
        <v>34</v>
      </c>
      <c r="M253" s="9" t="s">
        <v>34</v>
      </c>
      <c r="N253" s="9" t="s">
        <v>34</v>
      </c>
      <c r="O253" s="9" t="s">
        <v>34</v>
      </c>
      <c r="P253" s="9" t="s">
        <v>34</v>
      </c>
      <c r="Q253" s="9" t="s">
        <v>34</v>
      </c>
      <c r="R253" s="9" t="s">
        <v>34</v>
      </c>
      <c r="S253" s="9" t="s">
        <v>34</v>
      </c>
      <c r="T253" s="9" t="s">
        <v>34</v>
      </c>
      <c r="U253" s="9" t="s">
        <v>34</v>
      </c>
      <c r="V253" s="9" t="s">
        <v>34</v>
      </c>
      <c r="W253" s="9" t="s">
        <v>34</v>
      </c>
      <c r="X253" s="9" t="s">
        <v>34</v>
      </c>
      <c r="Y253" s="9" t="s">
        <v>34</v>
      </c>
      <c r="Z253" s="9" t="s">
        <v>34</v>
      </c>
      <c r="AA253" s="9" t="s">
        <v>34</v>
      </c>
      <c r="AB253" s="9" t="s">
        <v>34</v>
      </c>
      <c r="AC253" s="9" t="s">
        <v>34</v>
      </c>
      <c r="AD253" s="9" t="s">
        <v>34</v>
      </c>
      <c r="AE253" s="9" t="s">
        <v>34</v>
      </c>
      <c r="AF253" s="56" t="s">
        <v>34</v>
      </c>
      <c r="AG253" s="135"/>
      <c r="AO253" s="78"/>
    </row>
    <row r="254" spans="1:41">
      <c r="A254" s="117"/>
      <c r="B254" s="7" t="s">
        <v>270</v>
      </c>
      <c r="C254" s="9" t="s">
        <v>34</v>
      </c>
      <c r="D254" s="9" t="s">
        <v>33</v>
      </c>
      <c r="E254" s="9" t="s">
        <v>34</v>
      </c>
      <c r="F254" s="9" t="s">
        <v>303</v>
      </c>
      <c r="G254" s="9" t="s">
        <v>34</v>
      </c>
      <c r="H254" s="9" t="s">
        <v>34</v>
      </c>
      <c r="I254" s="9" t="s">
        <v>34</v>
      </c>
      <c r="J254" s="9" t="s">
        <v>34</v>
      </c>
      <c r="K254" s="9" t="s">
        <v>34</v>
      </c>
      <c r="L254" s="9" t="s">
        <v>34</v>
      </c>
      <c r="M254" s="9" t="s">
        <v>34</v>
      </c>
      <c r="N254" s="9" t="s">
        <v>34</v>
      </c>
      <c r="O254" s="9" t="s">
        <v>34</v>
      </c>
      <c r="P254" s="9" t="s">
        <v>34</v>
      </c>
      <c r="Q254" s="9" t="s">
        <v>34</v>
      </c>
      <c r="R254" s="9" t="s">
        <v>34</v>
      </c>
      <c r="S254" s="9" t="s">
        <v>34</v>
      </c>
      <c r="T254" s="9" t="s">
        <v>34</v>
      </c>
      <c r="U254" s="9" t="s">
        <v>34</v>
      </c>
      <c r="V254" s="9" t="s">
        <v>34</v>
      </c>
      <c r="W254" s="9" t="s">
        <v>34</v>
      </c>
      <c r="X254" s="9" t="s">
        <v>34</v>
      </c>
      <c r="Y254" s="9" t="s">
        <v>34</v>
      </c>
      <c r="Z254" s="9" t="s">
        <v>34</v>
      </c>
      <c r="AA254" s="9" t="s">
        <v>34</v>
      </c>
      <c r="AB254" s="9" t="s">
        <v>34</v>
      </c>
      <c r="AC254" s="9" t="s">
        <v>34</v>
      </c>
      <c r="AD254" s="9" t="s">
        <v>34</v>
      </c>
      <c r="AE254" s="9" t="s">
        <v>34</v>
      </c>
      <c r="AF254" s="56" t="s">
        <v>34</v>
      </c>
      <c r="AG254" s="135"/>
      <c r="AO254" s="78"/>
    </row>
    <row r="255" spans="1:41">
      <c r="A255" s="117"/>
      <c r="B255" s="7" t="s">
        <v>271</v>
      </c>
      <c r="C255" s="9" t="s">
        <v>34</v>
      </c>
      <c r="D255" s="9" t="s">
        <v>34</v>
      </c>
      <c r="E255" s="9" t="s">
        <v>34</v>
      </c>
      <c r="F255" s="9" t="s">
        <v>34</v>
      </c>
      <c r="G255" s="9" t="s">
        <v>34</v>
      </c>
      <c r="H255" s="9" t="s">
        <v>34</v>
      </c>
      <c r="I255" s="9" t="s">
        <v>34</v>
      </c>
      <c r="J255" s="9" t="s">
        <v>34</v>
      </c>
      <c r="K255" s="9" t="s">
        <v>34</v>
      </c>
      <c r="L255" s="9" t="s">
        <v>34</v>
      </c>
      <c r="M255" s="9" t="s">
        <v>34</v>
      </c>
      <c r="N255" s="9" t="s">
        <v>34</v>
      </c>
      <c r="O255" s="9" t="s">
        <v>34</v>
      </c>
      <c r="P255" s="9" t="s">
        <v>34</v>
      </c>
      <c r="Q255" s="9" t="s">
        <v>34</v>
      </c>
      <c r="R255" s="9" t="s">
        <v>34</v>
      </c>
      <c r="S255" s="9" t="s">
        <v>34</v>
      </c>
      <c r="T255" s="9" t="s">
        <v>34</v>
      </c>
      <c r="U255" s="9" t="s">
        <v>34</v>
      </c>
      <c r="V255" s="9" t="s">
        <v>34</v>
      </c>
      <c r="W255" s="9" t="s">
        <v>34</v>
      </c>
      <c r="X255" s="9" t="s">
        <v>34</v>
      </c>
      <c r="Y255" s="9" t="s">
        <v>34</v>
      </c>
      <c r="Z255" s="9" t="s">
        <v>34</v>
      </c>
      <c r="AA255" s="9" t="s">
        <v>34</v>
      </c>
      <c r="AB255" s="9" t="s">
        <v>34</v>
      </c>
      <c r="AC255" s="9" t="s">
        <v>34</v>
      </c>
      <c r="AD255" s="9" t="s">
        <v>34</v>
      </c>
      <c r="AE255" s="9" t="s">
        <v>34</v>
      </c>
      <c r="AF255" s="56" t="s">
        <v>34</v>
      </c>
      <c r="AG255" s="135"/>
      <c r="AO255" s="78"/>
    </row>
    <row r="256" spans="1:41">
      <c r="A256" s="117"/>
      <c r="B256" s="7" t="s">
        <v>272</v>
      </c>
      <c r="C256" s="9" t="s">
        <v>34</v>
      </c>
      <c r="D256" s="9" t="s">
        <v>34</v>
      </c>
      <c r="E256" s="9" t="s">
        <v>34</v>
      </c>
      <c r="F256" s="9" t="s">
        <v>34</v>
      </c>
      <c r="G256" s="9" t="s">
        <v>34</v>
      </c>
      <c r="H256" s="9" t="s">
        <v>34</v>
      </c>
      <c r="I256" s="9" t="s">
        <v>34</v>
      </c>
      <c r="J256" s="9" t="s">
        <v>34</v>
      </c>
      <c r="K256" s="9" t="s">
        <v>34</v>
      </c>
      <c r="L256" s="9" t="s">
        <v>34</v>
      </c>
      <c r="M256" s="9" t="s">
        <v>34</v>
      </c>
      <c r="N256" s="9" t="s">
        <v>34</v>
      </c>
      <c r="O256" s="9" t="s">
        <v>34</v>
      </c>
      <c r="P256" s="9" t="s">
        <v>34</v>
      </c>
      <c r="Q256" s="9" t="s">
        <v>34</v>
      </c>
      <c r="R256" s="9" t="s">
        <v>34</v>
      </c>
      <c r="S256" s="9" t="s">
        <v>34</v>
      </c>
      <c r="T256" s="9" t="s">
        <v>34</v>
      </c>
      <c r="U256" s="9" t="s">
        <v>34</v>
      </c>
      <c r="V256" s="9" t="s">
        <v>34</v>
      </c>
      <c r="W256" s="9" t="s">
        <v>34</v>
      </c>
      <c r="X256" s="9" t="s">
        <v>34</v>
      </c>
      <c r="Y256" s="9" t="s">
        <v>34</v>
      </c>
      <c r="Z256" s="9" t="s">
        <v>34</v>
      </c>
      <c r="AA256" s="9" t="s">
        <v>34</v>
      </c>
      <c r="AB256" s="9" t="s">
        <v>34</v>
      </c>
      <c r="AC256" s="9" t="s">
        <v>34</v>
      </c>
      <c r="AD256" s="9" t="s">
        <v>34</v>
      </c>
      <c r="AE256" s="9" t="s">
        <v>34</v>
      </c>
      <c r="AF256" s="56" t="s">
        <v>34</v>
      </c>
      <c r="AG256" s="135"/>
      <c r="AO256" s="78"/>
    </row>
    <row r="257" spans="1:41">
      <c r="A257" s="117"/>
      <c r="B257" s="7" t="s">
        <v>273</v>
      </c>
      <c r="C257" s="9" t="s">
        <v>33</v>
      </c>
      <c r="D257" s="9" t="s">
        <v>34</v>
      </c>
      <c r="E257" s="9" t="s">
        <v>34</v>
      </c>
      <c r="F257" s="9" t="s">
        <v>34</v>
      </c>
      <c r="G257" s="9" t="s">
        <v>34</v>
      </c>
      <c r="H257" s="9" t="s">
        <v>34</v>
      </c>
      <c r="I257" s="9" t="s">
        <v>34</v>
      </c>
      <c r="J257" s="9" t="s">
        <v>34</v>
      </c>
      <c r="K257" s="9" t="s">
        <v>34</v>
      </c>
      <c r="L257" s="9" t="s">
        <v>34</v>
      </c>
      <c r="M257" s="9" t="s">
        <v>34</v>
      </c>
      <c r="N257" s="9" t="s">
        <v>34</v>
      </c>
      <c r="O257" s="9" t="s">
        <v>34</v>
      </c>
      <c r="P257" s="9" t="s">
        <v>34</v>
      </c>
      <c r="Q257" s="9" t="s">
        <v>34</v>
      </c>
      <c r="R257" s="9" t="s">
        <v>34</v>
      </c>
      <c r="S257" s="9" t="s">
        <v>34</v>
      </c>
      <c r="T257" s="9" t="s">
        <v>34</v>
      </c>
      <c r="U257" s="9" t="s">
        <v>34</v>
      </c>
      <c r="V257" s="9" t="s">
        <v>34</v>
      </c>
      <c r="W257" s="9" t="s">
        <v>34</v>
      </c>
      <c r="X257" s="9" t="s">
        <v>34</v>
      </c>
      <c r="Y257" s="9" t="s">
        <v>34</v>
      </c>
      <c r="Z257" s="9" t="s">
        <v>34</v>
      </c>
      <c r="AA257" s="9" t="s">
        <v>34</v>
      </c>
      <c r="AB257" s="9" t="s">
        <v>34</v>
      </c>
      <c r="AC257" s="9" t="s">
        <v>34</v>
      </c>
      <c r="AD257" s="9" t="s">
        <v>34</v>
      </c>
      <c r="AE257" s="9" t="s">
        <v>34</v>
      </c>
      <c r="AF257" s="56" t="s">
        <v>34</v>
      </c>
      <c r="AG257" s="135"/>
      <c r="AO257" s="78"/>
    </row>
    <row r="258" spans="1:41">
      <c r="A258" s="117"/>
      <c r="B258" s="7" t="s">
        <v>274</v>
      </c>
      <c r="C258" s="9" t="s">
        <v>34</v>
      </c>
      <c r="D258" s="9" t="s">
        <v>303</v>
      </c>
      <c r="E258" s="9" t="s">
        <v>34</v>
      </c>
      <c r="F258" s="9" t="s">
        <v>303</v>
      </c>
      <c r="G258" s="9" t="s">
        <v>34</v>
      </c>
      <c r="H258" s="9" t="s">
        <v>34</v>
      </c>
      <c r="I258" s="9" t="s">
        <v>34</v>
      </c>
      <c r="J258" s="9" t="s">
        <v>34</v>
      </c>
      <c r="K258" s="9" t="s">
        <v>34</v>
      </c>
      <c r="L258" s="9" t="s">
        <v>34</v>
      </c>
      <c r="M258" s="9" t="s">
        <v>34</v>
      </c>
      <c r="N258" s="9" t="s">
        <v>34</v>
      </c>
      <c r="O258" s="9" t="s">
        <v>34</v>
      </c>
      <c r="P258" s="9" t="s">
        <v>34</v>
      </c>
      <c r="Q258" s="9" t="s">
        <v>34</v>
      </c>
      <c r="R258" s="9" t="s">
        <v>34</v>
      </c>
      <c r="S258" s="9" t="s">
        <v>34</v>
      </c>
      <c r="T258" s="9" t="s">
        <v>34</v>
      </c>
      <c r="U258" s="9" t="s">
        <v>34</v>
      </c>
      <c r="V258" s="9" t="s">
        <v>34</v>
      </c>
      <c r="W258" s="9" t="s">
        <v>34</v>
      </c>
      <c r="X258" s="9" t="s">
        <v>34</v>
      </c>
      <c r="Y258" s="9" t="s">
        <v>34</v>
      </c>
      <c r="Z258" s="9" t="s">
        <v>34</v>
      </c>
      <c r="AA258" s="9" t="s">
        <v>34</v>
      </c>
      <c r="AB258" s="9" t="s">
        <v>34</v>
      </c>
      <c r="AC258" s="9" t="s">
        <v>34</v>
      </c>
      <c r="AD258" s="9" t="s">
        <v>34</v>
      </c>
      <c r="AE258" s="9" t="s">
        <v>34</v>
      </c>
      <c r="AF258" s="56" t="s">
        <v>34</v>
      </c>
      <c r="AG258" s="135"/>
      <c r="AO258" s="78"/>
    </row>
    <row r="259" spans="1:41">
      <c r="A259" s="117"/>
      <c r="B259" s="7" t="s">
        <v>275</v>
      </c>
      <c r="C259" s="9" t="s">
        <v>33</v>
      </c>
      <c r="D259" s="9" t="s">
        <v>34</v>
      </c>
      <c r="E259" s="9" t="s">
        <v>34</v>
      </c>
      <c r="F259" s="9" t="s">
        <v>34</v>
      </c>
      <c r="G259" s="9" t="s">
        <v>34</v>
      </c>
      <c r="H259" s="9" t="s">
        <v>34</v>
      </c>
      <c r="I259" s="9" t="s">
        <v>34</v>
      </c>
      <c r="J259" s="9" t="s">
        <v>34</v>
      </c>
      <c r="K259" s="9" t="s">
        <v>34</v>
      </c>
      <c r="L259" s="9" t="s">
        <v>34</v>
      </c>
      <c r="M259" s="9" t="s">
        <v>34</v>
      </c>
      <c r="N259" s="9" t="s">
        <v>34</v>
      </c>
      <c r="O259" s="9" t="s">
        <v>34</v>
      </c>
      <c r="P259" s="9" t="s">
        <v>34</v>
      </c>
      <c r="Q259" s="9" t="s">
        <v>34</v>
      </c>
      <c r="R259" s="9" t="s">
        <v>34</v>
      </c>
      <c r="S259" s="9" t="s">
        <v>34</v>
      </c>
      <c r="T259" s="9" t="s">
        <v>34</v>
      </c>
      <c r="U259" s="9" t="s">
        <v>34</v>
      </c>
      <c r="V259" s="9" t="s">
        <v>34</v>
      </c>
      <c r="W259" s="9" t="s">
        <v>34</v>
      </c>
      <c r="X259" s="9" t="s">
        <v>34</v>
      </c>
      <c r="Y259" s="9" t="s">
        <v>34</v>
      </c>
      <c r="Z259" s="9" t="s">
        <v>34</v>
      </c>
      <c r="AA259" s="9" t="s">
        <v>34</v>
      </c>
      <c r="AB259" s="9" t="s">
        <v>34</v>
      </c>
      <c r="AC259" s="9" t="s">
        <v>34</v>
      </c>
      <c r="AD259" s="9" t="s">
        <v>34</v>
      </c>
      <c r="AE259" s="9" t="s">
        <v>34</v>
      </c>
      <c r="AF259" s="56" t="s">
        <v>34</v>
      </c>
      <c r="AG259" s="135"/>
      <c r="AO259" s="78"/>
    </row>
    <row r="260" spans="1:41">
      <c r="A260" s="117"/>
      <c r="B260" s="7" t="s">
        <v>276</v>
      </c>
      <c r="C260" s="9" t="s">
        <v>33</v>
      </c>
      <c r="D260" s="9" t="s">
        <v>34</v>
      </c>
      <c r="E260" s="9" t="s">
        <v>34</v>
      </c>
      <c r="F260" s="9" t="s">
        <v>34</v>
      </c>
      <c r="G260" s="9" t="s">
        <v>34</v>
      </c>
      <c r="H260" s="9" t="s">
        <v>34</v>
      </c>
      <c r="I260" s="9" t="s">
        <v>34</v>
      </c>
      <c r="J260" s="9" t="s">
        <v>34</v>
      </c>
      <c r="K260" s="9" t="s">
        <v>34</v>
      </c>
      <c r="L260" s="9" t="s">
        <v>34</v>
      </c>
      <c r="M260" s="9" t="s">
        <v>34</v>
      </c>
      <c r="N260" s="9" t="s">
        <v>34</v>
      </c>
      <c r="O260" s="9" t="s">
        <v>34</v>
      </c>
      <c r="P260" s="9" t="s">
        <v>34</v>
      </c>
      <c r="Q260" s="9" t="s">
        <v>34</v>
      </c>
      <c r="R260" s="9" t="s">
        <v>34</v>
      </c>
      <c r="S260" s="9" t="s">
        <v>34</v>
      </c>
      <c r="T260" s="9" t="s">
        <v>34</v>
      </c>
      <c r="U260" s="9" t="s">
        <v>34</v>
      </c>
      <c r="V260" s="9" t="s">
        <v>34</v>
      </c>
      <c r="W260" s="9" t="s">
        <v>34</v>
      </c>
      <c r="X260" s="9" t="s">
        <v>34</v>
      </c>
      <c r="Y260" s="9" t="s">
        <v>34</v>
      </c>
      <c r="Z260" s="9" t="s">
        <v>34</v>
      </c>
      <c r="AA260" s="9" t="s">
        <v>34</v>
      </c>
      <c r="AB260" s="9" t="s">
        <v>34</v>
      </c>
      <c r="AC260" s="9" t="s">
        <v>34</v>
      </c>
      <c r="AD260" s="9" t="s">
        <v>34</v>
      </c>
      <c r="AE260" s="9" t="s">
        <v>34</v>
      </c>
      <c r="AF260" s="56" t="s">
        <v>34</v>
      </c>
      <c r="AG260" s="135"/>
      <c r="AO260" s="78"/>
    </row>
    <row r="261" spans="1:41" ht="15.75" customHeight="1" thickBot="1">
      <c r="A261" s="119"/>
      <c r="B261" s="31" t="s">
        <v>277</v>
      </c>
      <c r="C261" s="20" t="s">
        <v>34</v>
      </c>
      <c r="D261" s="20" t="s">
        <v>34</v>
      </c>
      <c r="E261" s="20" t="s">
        <v>34</v>
      </c>
      <c r="F261" s="20" t="s">
        <v>34</v>
      </c>
      <c r="G261" s="20" t="s">
        <v>34</v>
      </c>
      <c r="H261" s="20" t="s">
        <v>34</v>
      </c>
      <c r="I261" s="20" t="s">
        <v>34</v>
      </c>
      <c r="J261" s="20" t="s">
        <v>34</v>
      </c>
      <c r="K261" s="20" t="s">
        <v>34</v>
      </c>
      <c r="L261" s="20" t="s">
        <v>34</v>
      </c>
      <c r="M261" s="20" t="s">
        <v>34</v>
      </c>
      <c r="N261" s="20" t="s">
        <v>34</v>
      </c>
      <c r="O261" s="20" t="s">
        <v>34</v>
      </c>
      <c r="P261" s="20" t="s">
        <v>34</v>
      </c>
      <c r="Q261" s="20" t="s">
        <v>34</v>
      </c>
      <c r="R261" s="20" t="s">
        <v>34</v>
      </c>
      <c r="S261" s="20" t="s">
        <v>34</v>
      </c>
      <c r="T261" s="20" t="s">
        <v>34</v>
      </c>
      <c r="U261" s="20" t="s">
        <v>34</v>
      </c>
      <c r="V261" s="20" t="s">
        <v>34</v>
      </c>
      <c r="W261" s="20" t="s">
        <v>34</v>
      </c>
      <c r="X261" s="20" t="s">
        <v>34</v>
      </c>
      <c r="Y261" s="20" t="s">
        <v>34</v>
      </c>
      <c r="Z261" s="20" t="s">
        <v>34</v>
      </c>
      <c r="AA261" s="20" t="s">
        <v>34</v>
      </c>
      <c r="AB261" s="20" t="s">
        <v>34</v>
      </c>
      <c r="AC261" s="20" t="s">
        <v>34</v>
      </c>
      <c r="AD261" s="20" t="s">
        <v>34</v>
      </c>
      <c r="AE261" s="20" t="s">
        <v>34</v>
      </c>
      <c r="AF261" s="57" t="s">
        <v>34</v>
      </c>
      <c r="AG261" s="135"/>
      <c r="AO261" s="78"/>
    </row>
    <row r="262" spans="1:41" ht="15" customHeight="1">
      <c r="A262" s="116" t="s">
        <v>278</v>
      </c>
      <c r="B262" s="30" t="s">
        <v>279</v>
      </c>
      <c r="C262" s="18" t="s">
        <v>33</v>
      </c>
      <c r="D262" s="18" t="s">
        <v>33</v>
      </c>
      <c r="E262" s="18" t="s">
        <v>33</v>
      </c>
      <c r="F262" s="18" t="s">
        <v>33</v>
      </c>
      <c r="G262" s="18" t="s">
        <v>33</v>
      </c>
      <c r="H262" s="18" t="s">
        <v>33</v>
      </c>
      <c r="I262" s="18" t="s">
        <v>33</v>
      </c>
      <c r="J262" s="18" t="s">
        <v>33</v>
      </c>
      <c r="K262" s="18" t="s">
        <v>33</v>
      </c>
      <c r="L262" s="18" t="s">
        <v>33</v>
      </c>
      <c r="M262" s="18" t="s">
        <v>33</v>
      </c>
      <c r="N262" s="18" t="s">
        <v>33</v>
      </c>
      <c r="O262" s="18" t="s">
        <v>33</v>
      </c>
      <c r="P262" s="18" t="s">
        <v>33</v>
      </c>
      <c r="Q262" s="18" t="s">
        <v>33</v>
      </c>
      <c r="R262" s="18" t="s">
        <v>33</v>
      </c>
      <c r="S262" s="18" t="s">
        <v>33</v>
      </c>
      <c r="T262" s="18" t="s">
        <v>33</v>
      </c>
      <c r="U262" s="18" t="s">
        <v>33</v>
      </c>
      <c r="V262" s="18" t="s">
        <v>33</v>
      </c>
      <c r="W262" s="18" t="s">
        <v>33</v>
      </c>
      <c r="X262" s="18" t="s">
        <v>33</v>
      </c>
      <c r="Y262" s="18" t="s">
        <v>33</v>
      </c>
      <c r="Z262" s="18" t="s">
        <v>33</v>
      </c>
      <c r="AA262" s="18" t="s">
        <v>33</v>
      </c>
      <c r="AB262" s="18" t="s">
        <v>33</v>
      </c>
      <c r="AC262" s="18" t="s">
        <v>33</v>
      </c>
      <c r="AD262" s="18" t="s">
        <v>33</v>
      </c>
      <c r="AE262" s="18" t="s">
        <v>33</v>
      </c>
      <c r="AF262" s="55" t="s">
        <v>303</v>
      </c>
      <c r="AG262" s="132" t="s">
        <v>359</v>
      </c>
      <c r="AH262" s="133" t="s">
        <v>360</v>
      </c>
      <c r="AI262" s="73" t="s">
        <v>361</v>
      </c>
      <c r="AJ262" s="75" t="s">
        <v>362</v>
      </c>
      <c r="AK262" s="85" t="s">
        <v>363</v>
      </c>
      <c r="AL262" s="83" t="s">
        <v>364</v>
      </c>
      <c r="AM262" s="81" t="s">
        <v>365</v>
      </c>
      <c r="AN262" s="79" t="s">
        <v>366</v>
      </c>
      <c r="AO262" s="77" t="s">
        <v>367</v>
      </c>
    </row>
    <row r="263" spans="1:41">
      <c r="A263" s="117"/>
      <c r="B263" s="7" t="s">
        <v>280</v>
      </c>
      <c r="C263" s="9" t="s">
        <v>33</v>
      </c>
      <c r="D263" s="9" t="s">
        <v>33</v>
      </c>
      <c r="E263" s="9" t="s">
        <v>33</v>
      </c>
      <c r="F263" s="9" t="s">
        <v>33</v>
      </c>
      <c r="G263" s="9" t="s">
        <v>33</v>
      </c>
      <c r="H263" s="9" t="s">
        <v>33</v>
      </c>
      <c r="I263" s="9" t="s">
        <v>33</v>
      </c>
      <c r="J263" s="9" t="s">
        <v>33</v>
      </c>
      <c r="K263" s="9" t="s">
        <v>33</v>
      </c>
      <c r="L263" s="9" t="s">
        <v>33</v>
      </c>
      <c r="M263" s="9" t="s">
        <v>33</v>
      </c>
      <c r="N263" s="9" t="s">
        <v>33</v>
      </c>
      <c r="O263" s="9" t="s">
        <v>33</v>
      </c>
      <c r="P263" s="9" t="s">
        <v>33</v>
      </c>
      <c r="Q263" s="9" t="s">
        <v>33</v>
      </c>
      <c r="R263" s="9" t="s">
        <v>33</v>
      </c>
      <c r="S263" s="9" t="s">
        <v>33</v>
      </c>
      <c r="T263" s="9" t="s">
        <v>33</v>
      </c>
      <c r="U263" s="9" t="s">
        <v>33</v>
      </c>
      <c r="V263" s="9" t="s">
        <v>33</v>
      </c>
      <c r="W263" s="9" t="s">
        <v>33</v>
      </c>
      <c r="X263" s="9" t="s">
        <v>33</v>
      </c>
      <c r="Y263" s="9" t="s">
        <v>33</v>
      </c>
      <c r="Z263" s="9" t="s">
        <v>33</v>
      </c>
      <c r="AA263" s="9" t="s">
        <v>33</v>
      </c>
      <c r="AB263" s="9" t="s">
        <v>33</v>
      </c>
      <c r="AC263" s="9" t="s">
        <v>33</v>
      </c>
      <c r="AD263" s="9" t="s">
        <v>33</v>
      </c>
      <c r="AE263" s="9" t="s">
        <v>303</v>
      </c>
      <c r="AF263" s="56" t="s">
        <v>303</v>
      </c>
      <c r="AG263" s="132"/>
      <c r="AH263" s="134"/>
      <c r="AI263" s="74"/>
      <c r="AJ263" s="76"/>
      <c r="AK263" s="86"/>
      <c r="AL263" s="84"/>
      <c r="AM263" s="82"/>
      <c r="AN263" s="80"/>
      <c r="AO263" s="78"/>
    </row>
    <row r="264" spans="1:41">
      <c r="A264" s="117"/>
      <c r="B264" s="7" t="s">
        <v>281</v>
      </c>
      <c r="C264" s="9" t="s">
        <v>33</v>
      </c>
      <c r="D264" s="9" t="s">
        <v>33</v>
      </c>
      <c r="E264" s="9" t="s">
        <v>33</v>
      </c>
      <c r="F264" s="9" t="s">
        <v>33</v>
      </c>
      <c r="G264" s="9" t="s">
        <v>33</v>
      </c>
      <c r="H264" s="9" t="s">
        <v>33</v>
      </c>
      <c r="I264" s="9" t="s">
        <v>33</v>
      </c>
      <c r="J264" s="9" t="s">
        <v>33</v>
      </c>
      <c r="K264" s="9" t="s">
        <v>33</v>
      </c>
      <c r="L264" s="9" t="s">
        <v>33</v>
      </c>
      <c r="M264" s="9" t="s">
        <v>33</v>
      </c>
      <c r="N264" s="9" t="s">
        <v>33</v>
      </c>
      <c r="O264" s="9" t="s">
        <v>33</v>
      </c>
      <c r="P264" s="9" t="s">
        <v>33</v>
      </c>
      <c r="Q264" s="9" t="s">
        <v>33</v>
      </c>
      <c r="R264" s="9" t="s">
        <v>33</v>
      </c>
      <c r="S264" s="9" t="s">
        <v>33</v>
      </c>
      <c r="T264" s="9" t="s">
        <v>33</v>
      </c>
      <c r="U264" s="9" t="s">
        <v>33</v>
      </c>
      <c r="V264" s="9" t="s">
        <v>33</v>
      </c>
      <c r="W264" s="9" t="s">
        <v>33</v>
      </c>
      <c r="X264" s="9" t="s">
        <v>33</v>
      </c>
      <c r="Y264" s="9" t="s">
        <v>33</v>
      </c>
      <c r="Z264" s="9" t="s">
        <v>33</v>
      </c>
      <c r="AA264" s="9" t="s">
        <v>33</v>
      </c>
      <c r="AB264" s="9" t="s">
        <v>33</v>
      </c>
      <c r="AC264" s="9" t="s">
        <v>33</v>
      </c>
      <c r="AD264" s="9" t="s">
        <v>303</v>
      </c>
      <c r="AE264" s="9" t="s">
        <v>303</v>
      </c>
      <c r="AF264" s="56" t="s">
        <v>303</v>
      </c>
      <c r="AG264" s="135"/>
      <c r="AH264" s="134"/>
      <c r="AI264" s="74"/>
      <c r="AJ264" s="76"/>
      <c r="AK264" s="86"/>
      <c r="AL264" s="84"/>
      <c r="AM264" s="82"/>
      <c r="AN264" s="80"/>
      <c r="AO264" s="78"/>
    </row>
    <row r="265" spans="1:41">
      <c r="A265" s="117"/>
      <c r="B265" s="7" t="s">
        <v>358</v>
      </c>
      <c r="C265" s="9" t="s">
        <v>33</v>
      </c>
      <c r="D265" s="9" t="s">
        <v>33</v>
      </c>
      <c r="E265" s="9" t="s">
        <v>33</v>
      </c>
      <c r="F265" s="9" t="s">
        <v>33</v>
      </c>
      <c r="G265" s="9" t="s">
        <v>33</v>
      </c>
      <c r="H265" s="9" t="s">
        <v>33</v>
      </c>
      <c r="I265" s="9" t="s">
        <v>33</v>
      </c>
      <c r="J265" s="9" t="s">
        <v>33</v>
      </c>
      <c r="K265" s="9" t="s">
        <v>33</v>
      </c>
      <c r="L265" s="9" t="s">
        <v>33</v>
      </c>
      <c r="M265" s="9" t="s">
        <v>33</v>
      </c>
      <c r="N265" s="9" t="s">
        <v>33</v>
      </c>
      <c r="O265" s="9" t="s">
        <v>33</v>
      </c>
      <c r="P265" s="9" t="s">
        <v>33</v>
      </c>
      <c r="Q265" s="9" t="s">
        <v>33</v>
      </c>
      <c r="R265" s="9" t="s">
        <v>33</v>
      </c>
      <c r="S265" s="9" t="s">
        <v>33</v>
      </c>
      <c r="T265" s="9" t="s">
        <v>33</v>
      </c>
      <c r="U265" s="9" t="s">
        <v>33</v>
      </c>
      <c r="V265" s="9" t="s">
        <v>303</v>
      </c>
      <c r="W265" s="9" t="s">
        <v>33</v>
      </c>
      <c r="X265" s="9" t="s">
        <v>303</v>
      </c>
      <c r="Y265" s="9" t="s">
        <v>33</v>
      </c>
      <c r="Z265" s="9" t="s">
        <v>33</v>
      </c>
      <c r="AA265" s="9" t="s">
        <v>33</v>
      </c>
      <c r="AB265" s="9" t="s">
        <v>33</v>
      </c>
      <c r="AC265" s="9" t="s">
        <v>33</v>
      </c>
      <c r="AD265" s="9" t="s">
        <v>303</v>
      </c>
      <c r="AE265" s="9" t="s">
        <v>303</v>
      </c>
      <c r="AF265" s="56" t="s">
        <v>34</v>
      </c>
      <c r="AG265" s="135"/>
      <c r="AH265" s="134"/>
      <c r="AI265" s="74"/>
      <c r="AJ265" s="76"/>
      <c r="AK265" s="86"/>
      <c r="AL265" s="84"/>
      <c r="AM265" s="82"/>
      <c r="AN265" s="80"/>
      <c r="AO265" s="78"/>
    </row>
    <row r="266" spans="1:41">
      <c r="A266" s="117"/>
      <c r="B266" s="7" t="s">
        <v>282</v>
      </c>
      <c r="C266" s="9" t="s">
        <v>33</v>
      </c>
      <c r="D266" s="9" t="s">
        <v>33</v>
      </c>
      <c r="E266" s="9" t="s">
        <v>33</v>
      </c>
      <c r="F266" s="9" t="s">
        <v>33</v>
      </c>
      <c r="G266" s="9" t="s">
        <v>33</v>
      </c>
      <c r="H266" s="9" t="s">
        <v>33</v>
      </c>
      <c r="I266" s="9" t="s">
        <v>33</v>
      </c>
      <c r="J266" s="9" t="s">
        <v>33</v>
      </c>
      <c r="K266" s="9" t="s">
        <v>33</v>
      </c>
      <c r="L266" s="9" t="s">
        <v>33</v>
      </c>
      <c r="M266" s="9" t="s">
        <v>33</v>
      </c>
      <c r="N266" s="9" t="s">
        <v>33</v>
      </c>
      <c r="O266" s="9" t="s">
        <v>33</v>
      </c>
      <c r="P266" s="9" t="s">
        <v>33</v>
      </c>
      <c r="Q266" s="9" t="s">
        <v>33</v>
      </c>
      <c r="R266" s="9" t="s">
        <v>303</v>
      </c>
      <c r="S266" s="9" t="s">
        <v>303</v>
      </c>
      <c r="T266" s="9" t="s">
        <v>303</v>
      </c>
      <c r="U266" s="9" t="s">
        <v>303</v>
      </c>
      <c r="V266" s="9" t="s">
        <v>34</v>
      </c>
      <c r="W266" s="9" t="s">
        <v>303</v>
      </c>
      <c r="X266" s="9" t="s">
        <v>34</v>
      </c>
      <c r="Y266" s="9" t="s">
        <v>303</v>
      </c>
      <c r="Z266" s="9" t="s">
        <v>303</v>
      </c>
      <c r="AA266" s="9" t="s">
        <v>303</v>
      </c>
      <c r="AB266" s="9" t="s">
        <v>303</v>
      </c>
      <c r="AC266" s="9" t="s">
        <v>303</v>
      </c>
      <c r="AD266" s="9" t="s">
        <v>34</v>
      </c>
      <c r="AE266" s="9" t="s">
        <v>34</v>
      </c>
      <c r="AF266" s="56" t="s">
        <v>34</v>
      </c>
      <c r="AG266" s="135"/>
      <c r="AH266" s="49"/>
      <c r="AI266" s="74"/>
      <c r="AJ266" s="76"/>
      <c r="AK266" s="86"/>
      <c r="AL266" s="84"/>
      <c r="AM266" s="82"/>
      <c r="AN266" s="80"/>
      <c r="AO266" s="78"/>
    </row>
    <row r="267" spans="1:41">
      <c r="A267" s="117"/>
      <c r="B267" s="7" t="s">
        <v>283</v>
      </c>
      <c r="C267" s="9" t="s">
        <v>33</v>
      </c>
      <c r="D267" s="9" t="s">
        <v>33</v>
      </c>
      <c r="E267" s="9" t="s">
        <v>33</v>
      </c>
      <c r="F267" s="9" t="s">
        <v>33</v>
      </c>
      <c r="G267" s="9" t="s">
        <v>33</v>
      </c>
      <c r="H267" s="9" t="s">
        <v>33</v>
      </c>
      <c r="I267" s="9" t="s">
        <v>33</v>
      </c>
      <c r="J267" s="9" t="s">
        <v>33</v>
      </c>
      <c r="K267" s="9" t="s">
        <v>33</v>
      </c>
      <c r="L267" s="9" t="s">
        <v>33</v>
      </c>
      <c r="M267" s="9" t="s">
        <v>33</v>
      </c>
      <c r="N267" s="9" t="s">
        <v>33</v>
      </c>
      <c r="O267" s="9" t="s">
        <v>33</v>
      </c>
      <c r="P267" s="9" t="s">
        <v>33</v>
      </c>
      <c r="Q267" s="9" t="s">
        <v>33</v>
      </c>
      <c r="R267" s="9" t="s">
        <v>303</v>
      </c>
      <c r="S267" s="9" t="s">
        <v>303</v>
      </c>
      <c r="T267" s="9" t="s">
        <v>303</v>
      </c>
      <c r="U267" s="9" t="s">
        <v>303</v>
      </c>
      <c r="V267" s="9" t="s">
        <v>303</v>
      </c>
      <c r="W267" s="9" t="s">
        <v>303</v>
      </c>
      <c r="X267" s="9" t="s">
        <v>303</v>
      </c>
      <c r="Y267" s="9" t="s">
        <v>303</v>
      </c>
      <c r="Z267" s="9" t="s">
        <v>303</v>
      </c>
      <c r="AA267" s="9" t="s">
        <v>303</v>
      </c>
      <c r="AB267" s="9" t="s">
        <v>303</v>
      </c>
      <c r="AC267" s="9" t="s">
        <v>303</v>
      </c>
      <c r="AD267" s="9" t="s">
        <v>34</v>
      </c>
      <c r="AE267" s="9" t="s">
        <v>34</v>
      </c>
      <c r="AF267" s="56" t="s">
        <v>34</v>
      </c>
      <c r="AG267" s="135"/>
      <c r="AH267" s="49"/>
      <c r="AI267" s="74"/>
      <c r="AJ267" s="76"/>
      <c r="AK267" s="86"/>
      <c r="AL267" s="84"/>
      <c r="AM267" s="82"/>
      <c r="AN267" s="80"/>
      <c r="AO267" s="78"/>
    </row>
    <row r="268" spans="1:41">
      <c r="A268" s="117"/>
      <c r="B268" s="7" t="s">
        <v>284</v>
      </c>
      <c r="C268" s="9" t="s">
        <v>33</v>
      </c>
      <c r="D268" s="9" t="s">
        <v>33</v>
      </c>
      <c r="E268" s="9" t="s">
        <v>33</v>
      </c>
      <c r="F268" s="9" t="s">
        <v>33</v>
      </c>
      <c r="G268" s="9" t="s">
        <v>33</v>
      </c>
      <c r="H268" s="9" t="s">
        <v>33</v>
      </c>
      <c r="I268" s="9" t="s">
        <v>33</v>
      </c>
      <c r="J268" s="9" t="s">
        <v>33</v>
      </c>
      <c r="K268" s="9" t="s">
        <v>33</v>
      </c>
      <c r="L268" s="9" t="s">
        <v>33</v>
      </c>
      <c r="M268" s="9" t="s">
        <v>33</v>
      </c>
      <c r="N268" s="9" t="s">
        <v>33</v>
      </c>
      <c r="O268" s="9" t="s">
        <v>33</v>
      </c>
      <c r="P268" s="9" t="s">
        <v>303</v>
      </c>
      <c r="Q268" s="9" t="s">
        <v>303</v>
      </c>
      <c r="R268" s="9" t="s">
        <v>34</v>
      </c>
      <c r="S268" s="9" t="s">
        <v>34</v>
      </c>
      <c r="T268" s="9" t="s">
        <v>34</v>
      </c>
      <c r="U268" s="9" t="s">
        <v>34</v>
      </c>
      <c r="V268" s="9" t="s">
        <v>34</v>
      </c>
      <c r="W268" s="9" t="s">
        <v>34</v>
      </c>
      <c r="X268" s="9" t="s">
        <v>34</v>
      </c>
      <c r="Y268" s="9" t="s">
        <v>34</v>
      </c>
      <c r="Z268" s="9" t="s">
        <v>34</v>
      </c>
      <c r="AA268" s="9" t="s">
        <v>34</v>
      </c>
      <c r="AB268" s="9" t="s">
        <v>34</v>
      </c>
      <c r="AC268" s="9" t="s">
        <v>34</v>
      </c>
      <c r="AD268" s="9" t="s">
        <v>34</v>
      </c>
      <c r="AE268" s="9" t="s">
        <v>34</v>
      </c>
      <c r="AF268" s="56" t="s">
        <v>34</v>
      </c>
      <c r="AG268" s="135"/>
      <c r="AH268" s="49"/>
      <c r="AI268" s="74"/>
      <c r="AJ268" s="76"/>
      <c r="AK268" s="86"/>
      <c r="AL268" s="84"/>
      <c r="AM268" s="82"/>
      <c r="AN268" s="80"/>
      <c r="AO268" s="78"/>
    </row>
    <row r="269" spans="1:41">
      <c r="A269" s="117"/>
      <c r="B269" s="7" t="s">
        <v>285</v>
      </c>
      <c r="C269" s="9" t="s">
        <v>33</v>
      </c>
      <c r="D269" s="9" t="s">
        <v>33</v>
      </c>
      <c r="E269" s="9" t="s">
        <v>33</v>
      </c>
      <c r="F269" s="9" t="s">
        <v>33</v>
      </c>
      <c r="G269" s="9" t="s">
        <v>33</v>
      </c>
      <c r="H269" s="9" t="s">
        <v>33</v>
      </c>
      <c r="I269" s="9" t="s">
        <v>33</v>
      </c>
      <c r="J269" s="9" t="s">
        <v>33</v>
      </c>
      <c r="K269" s="9" t="s">
        <v>33</v>
      </c>
      <c r="L269" s="9" t="s">
        <v>33</v>
      </c>
      <c r="M269" s="9" t="s">
        <v>33</v>
      </c>
      <c r="N269" s="9" t="s">
        <v>33</v>
      </c>
      <c r="O269" s="9" t="s">
        <v>303</v>
      </c>
      <c r="P269" s="9" t="s">
        <v>303</v>
      </c>
      <c r="Q269" s="9" t="s">
        <v>303</v>
      </c>
      <c r="R269" s="9" t="s">
        <v>303</v>
      </c>
      <c r="S269" s="9" t="s">
        <v>303</v>
      </c>
      <c r="T269" s="9" t="s">
        <v>303</v>
      </c>
      <c r="U269" s="9" t="s">
        <v>303</v>
      </c>
      <c r="V269" s="9" t="s">
        <v>303</v>
      </c>
      <c r="W269" s="9" t="s">
        <v>303</v>
      </c>
      <c r="X269" s="9" t="s">
        <v>303</v>
      </c>
      <c r="Y269" s="9" t="s">
        <v>303</v>
      </c>
      <c r="Z269" s="9" t="s">
        <v>303</v>
      </c>
      <c r="AA269" s="9" t="s">
        <v>303</v>
      </c>
      <c r="AB269" s="9" t="s">
        <v>303</v>
      </c>
      <c r="AC269" s="9" t="s">
        <v>303</v>
      </c>
      <c r="AD269" s="9" t="s">
        <v>34</v>
      </c>
      <c r="AE269" s="9" t="s">
        <v>34</v>
      </c>
      <c r="AF269" s="56" t="s">
        <v>34</v>
      </c>
      <c r="AG269" s="135"/>
      <c r="AH269" s="49"/>
      <c r="AI269" s="74"/>
      <c r="AJ269" s="76"/>
      <c r="AK269" s="86"/>
      <c r="AL269" s="84"/>
      <c r="AM269" s="82"/>
      <c r="AN269" s="80"/>
      <c r="AO269" s="78"/>
    </row>
    <row r="270" spans="1:41">
      <c r="A270" s="117"/>
      <c r="B270" s="7" t="s">
        <v>286</v>
      </c>
      <c r="C270" s="9" t="s">
        <v>33</v>
      </c>
      <c r="D270" s="9" t="s">
        <v>33</v>
      </c>
      <c r="E270" s="9" t="s">
        <v>33</v>
      </c>
      <c r="F270" s="9" t="s">
        <v>303</v>
      </c>
      <c r="G270" s="9" t="s">
        <v>33</v>
      </c>
      <c r="H270" s="9" t="s">
        <v>33</v>
      </c>
      <c r="I270" s="9" t="s">
        <v>33</v>
      </c>
      <c r="J270" s="9" t="s">
        <v>303</v>
      </c>
      <c r="K270" s="9" t="s">
        <v>303</v>
      </c>
      <c r="L270" s="9" t="s">
        <v>303</v>
      </c>
      <c r="M270" s="9" t="s">
        <v>303</v>
      </c>
      <c r="N270" s="9" t="s">
        <v>303</v>
      </c>
      <c r="O270" s="9" t="s">
        <v>303</v>
      </c>
      <c r="P270" s="9" t="s">
        <v>303</v>
      </c>
      <c r="Q270" s="9" t="s">
        <v>303</v>
      </c>
      <c r="R270" s="9" t="s">
        <v>34</v>
      </c>
      <c r="S270" s="9" t="s">
        <v>34</v>
      </c>
      <c r="T270" s="9" t="s">
        <v>34</v>
      </c>
      <c r="U270" s="9" t="s">
        <v>34</v>
      </c>
      <c r="V270" s="9" t="s">
        <v>34</v>
      </c>
      <c r="W270" s="9" t="s">
        <v>34</v>
      </c>
      <c r="X270" s="9" t="s">
        <v>34</v>
      </c>
      <c r="Y270" s="9" t="s">
        <v>34</v>
      </c>
      <c r="Z270" s="9" t="s">
        <v>34</v>
      </c>
      <c r="AA270" s="9" t="s">
        <v>34</v>
      </c>
      <c r="AB270" s="9" t="s">
        <v>34</v>
      </c>
      <c r="AC270" s="9" t="s">
        <v>34</v>
      </c>
      <c r="AD270" s="9" t="s">
        <v>34</v>
      </c>
      <c r="AE270" s="9" t="s">
        <v>34</v>
      </c>
      <c r="AF270" s="56" t="s">
        <v>34</v>
      </c>
      <c r="AG270" s="135"/>
      <c r="AH270" s="49"/>
      <c r="AI270" s="49"/>
      <c r="AJ270" s="76"/>
      <c r="AK270" s="86"/>
      <c r="AL270" s="84"/>
      <c r="AM270" s="82"/>
      <c r="AN270" s="80"/>
      <c r="AO270" s="78"/>
    </row>
    <row r="271" spans="1:41">
      <c r="A271" s="117"/>
      <c r="B271" s="7" t="s">
        <v>287</v>
      </c>
      <c r="C271" s="9" t="s">
        <v>33</v>
      </c>
      <c r="D271" s="9" t="s">
        <v>33</v>
      </c>
      <c r="E271" s="9" t="s">
        <v>33</v>
      </c>
      <c r="F271" s="9" t="s">
        <v>33</v>
      </c>
      <c r="G271" s="9" t="s">
        <v>33</v>
      </c>
      <c r="H271" s="9" t="s">
        <v>33</v>
      </c>
      <c r="I271" s="9" t="s">
        <v>33</v>
      </c>
      <c r="J271" s="9" t="s">
        <v>303</v>
      </c>
      <c r="K271" s="9" t="s">
        <v>33</v>
      </c>
      <c r="L271" s="9" t="s">
        <v>303</v>
      </c>
      <c r="M271" s="9" t="s">
        <v>33</v>
      </c>
      <c r="N271" s="9" t="s">
        <v>33</v>
      </c>
      <c r="O271" s="9" t="s">
        <v>303</v>
      </c>
      <c r="P271" s="9" t="s">
        <v>34</v>
      </c>
      <c r="Q271" s="9" t="s">
        <v>34</v>
      </c>
      <c r="R271" s="9" t="s">
        <v>34</v>
      </c>
      <c r="S271" s="9" t="s">
        <v>34</v>
      </c>
      <c r="T271" s="9" t="s">
        <v>34</v>
      </c>
      <c r="U271" s="9" t="s">
        <v>34</v>
      </c>
      <c r="V271" s="9" t="s">
        <v>34</v>
      </c>
      <c r="W271" s="9" t="s">
        <v>34</v>
      </c>
      <c r="X271" s="9" t="s">
        <v>34</v>
      </c>
      <c r="Y271" s="9" t="s">
        <v>34</v>
      </c>
      <c r="Z271" s="9" t="s">
        <v>34</v>
      </c>
      <c r="AA271" s="9" t="s">
        <v>34</v>
      </c>
      <c r="AB271" s="9" t="s">
        <v>34</v>
      </c>
      <c r="AC271" s="9" t="s">
        <v>34</v>
      </c>
      <c r="AD271" s="9" t="s">
        <v>34</v>
      </c>
      <c r="AE271" s="9" t="s">
        <v>34</v>
      </c>
      <c r="AF271" s="56" t="s">
        <v>34</v>
      </c>
      <c r="AG271" s="135"/>
      <c r="AH271" s="49"/>
      <c r="AI271" s="49"/>
      <c r="AJ271" s="49"/>
      <c r="AK271" s="86"/>
      <c r="AL271" s="84"/>
      <c r="AM271" s="82"/>
      <c r="AN271" s="80"/>
      <c r="AO271" s="78"/>
    </row>
    <row r="272" spans="1:41">
      <c r="A272" s="117"/>
      <c r="B272" s="7" t="s">
        <v>288</v>
      </c>
      <c r="C272" s="9" t="s">
        <v>33</v>
      </c>
      <c r="D272" s="9" t="s">
        <v>33</v>
      </c>
      <c r="E272" s="9" t="s">
        <v>34</v>
      </c>
      <c r="F272" s="9" t="s">
        <v>34</v>
      </c>
      <c r="G272" s="9" t="s">
        <v>33</v>
      </c>
      <c r="H272" s="9" t="s">
        <v>33</v>
      </c>
      <c r="I272" s="9" t="s">
        <v>34</v>
      </c>
      <c r="J272" s="9" t="s">
        <v>303</v>
      </c>
      <c r="K272" s="9" t="s">
        <v>303</v>
      </c>
      <c r="L272" s="9" t="s">
        <v>34</v>
      </c>
      <c r="M272" s="9" t="s">
        <v>303</v>
      </c>
      <c r="N272" s="9" t="s">
        <v>303</v>
      </c>
      <c r="O272" s="9" t="s">
        <v>34</v>
      </c>
      <c r="P272" s="9" t="s">
        <v>34</v>
      </c>
      <c r="Q272" s="9" t="s">
        <v>34</v>
      </c>
      <c r="R272" s="9" t="s">
        <v>34</v>
      </c>
      <c r="S272" s="9" t="s">
        <v>34</v>
      </c>
      <c r="T272" s="9" t="s">
        <v>34</v>
      </c>
      <c r="U272" s="9" t="s">
        <v>34</v>
      </c>
      <c r="V272" s="9" t="s">
        <v>34</v>
      </c>
      <c r="W272" s="9" t="s">
        <v>34</v>
      </c>
      <c r="X272" s="9" t="s">
        <v>34</v>
      </c>
      <c r="Y272" s="9" t="s">
        <v>34</v>
      </c>
      <c r="Z272" s="9" t="s">
        <v>34</v>
      </c>
      <c r="AA272" s="9" t="s">
        <v>34</v>
      </c>
      <c r="AB272" s="9" t="s">
        <v>34</v>
      </c>
      <c r="AC272" s="9" t="s">
        <v>34</v>
      </c>
      <c r="AD272" s="9" t="s">
        <v>34</v>
      </c>
      <c r="AE272" s="9" t="s">
        <v>34</v>
      </c>
      <c r="AF272" s="56" t="s">
        <v>34</v>
      </c>
      <c r="AG272" s="135"/>
      <c r="AH272" s="49"/>
      <c r="AI272" s="49"/>
      <c r="AJ272" s="49"/>
      <c r="AL272" s="84"/>
      <c r="AM272" s="82"/>
      <c r="AN272" s="80"/>
      <c r="AO272" s="78"/>
    </row>
    <row r="273" spans="1:41">
      <c r="A273" s="117"/>
      <c r="B273" s="7" t="s">
        <v>289</v>
      </c>
      <c r="C273" s="9" t="s">
        <v>33</v>
      </c>
      <c r="D273" s="9" t="s">
        <v>33</v>
      </c>
      <c r="E273" s="9" t="s">
        <v>34</v>
      </c>
      <c r="F273" s="9" t="s">
        <v>34</v>
      </c>
      <c r="G273" s="9" t="s">
        <v>34</v>
      </c>
      <c r="H273" s="9" t="s">
        <v>34</v>
      </c>
      <c r="I273" s="9" t="s">
        <v>34</v>
      </c>
      <c r="J273" s="9" t="s">
        <v>34</v>
      </c>
      <c r="K273" s="9" t="s">
        <v>34</v>
      </c>
      <c r="L273" s="9" t="s">
        <v>34</v>
      </c>
      <c r="M273" s="9" t="s">
        <v>34</v>
      </c>
      <c r="N273" s="9" t="s">
        <v>34</v>
      </c>
      <c r="O273" s="9" t="s">
        <v>34</v>
      </c>
      <c r="P273" s="9" t="s">
        <v>34</v>
      </c>
      <c r="Q273" s="9" t="s">
        <v>34</v>
      </c>
      <c r="R273" s="9" t="s">
        <v>34</v>
      </c>
      <c r="S273" s="9" t="s">
        <v>34</v>
      </c>
      <c r="T273" s="9" t="s">
        <v>34</v>
      </c>
      <c r="U273" s="9" t="s">
        <v>34</v>
      </c>
      <c r="V273" s="9" t="s">
        <v>34</v>
      </c>
      <c r="W273" s="9" t="s">
        <v>34</v>
      </c>
      <c r="X273" s="9" t="s">
        <v>34</v>
      </c>
      <c r="Y273" s="9" t="s">
        <v>34</v>
      </c>
      <c r="Z273" s="9" t="s">
        <v>34</v>
      </c>
      <c r="AA273" s="9" t="s">
        <v>34</v>
      </c>
      <c r="AB273" s="9" t="s">
        <v>34</v>
      </c>
      <c r="AC273" s="9" t="s">
        <v>34</v>
      </c>
      <c r="AD273" s="9" t="s">
        <v>34</v>
      </c>
      <c r="AE273" s="9" t="s">
        <v>34</v>
      </c>
      <c r="AF273" s="56" t="s">
        <v>34</v>
      </c>
      <c r="AG273" s="135"/>
      <c r="AH273" s="49"/>
      <c r="AI273" s="49"/>
      <c r="AJ273" s="49"/>
      <c r="AM273" s="82"/>
      <c r="AN273" s="80"/>
      <c r="AO273" s="78"/>
    </row>
    <row r="274" spans="1:41">
      <c r="A274" s="117"/>
      <c r="B274" s="7" t="s">
        <v>290</v>
      </c>
      <c r="C274" s="9" t="s">
        <v>34</v>
      </c>
      <c r="D274" s="9" t="s">
        <v>34</v>
      </c>
      <c r="E274" s="9" t="s">
        <v>34</v>
      </c>
      <c r="F274" s="9" t="s">
        <v>303</v>
      </c>
      <c r="G274" s="9" t="s">
        <v>303</v>
      </c>
      <c r="H274" s="9" t="s">
        <v>34</v>
      </c>
      <c r="I274" s="9" t="s">
        <v>34</v>
      </c>
      <c r="J274" s="9" t="s">
        <v>34</v>
      </c>
      <c r="K274" s="9" t="s">
        <v>34</v>
      </c>
      <c r="L274" s="9" t="s">
        <v>34</v>
      </c>
      <c r="M274" s="9" t="s">
        <v>34</v>
      </c>
      <c r="N274" s="9" t="s">
        <v>34</v>
      </c>
      <c r="O274" s="9" t="s">
        <v>34</v>
      </c>
      <c r="P274" s="9" t="s">
        <v>34</v>
      </c>
      <c r="Q274" s="9" t="s">
        <v>34</v>
      </c>
      <c r="R274" s="9" t="s">
        <v>34</v>
      </c>
      <c r="S274" s="9" t="s">
        <v>34</v>
      </c>
      <c r="T274" s="9" t="s">
        <v>34</v>
      </c>
      <c r="U274" s="9" t="s">
        <v>34</v>
      </c>
      <c r="V274" s="9" t="s">
        <v>34</v>
      </c>
      <c r="W274" s="9" t="s">
        <v>34</v>
      </c>
      <c r="X274" s="9" t="s">
        <v>34</v>
      </c>
      <c r="Y274" s="9" t="s">
        <v>34</v>
      </c>
      <c r="Z274" s="9" t="s">
        <v>34</v>
      </c>
      <c r="AA274" s="9" t="s">
        <v>34</v>
      </c>
      <c r="AB274" s="9" t="s">
        <v>34</v>
      </c>
      <c r="AC274" s="9" t="s">
        <v>34</v>
      </c>
      <c r="AD274" s="9" t="s">
        <v>34</v>
      </c>
      <c r="AE274" s="9" t="s">
        <v>34</v>
      </c>
      <c r="AF274" s="56" t="s">
        <v>34</v>
      </c>
      <c r="AG274" s="135"/>
      <c r="AH274" s="49"/>
      <c r="AI274" s="49"/>
      <c r="AJ274" s="49"/>
      <c r="AN274" s="80"/>
      <c r="AO274" s="78"/>
    </row>
    <row r="275" spans="1:41">
      <c r="A275" s="117"/>
      <c r="B275" s="7" t="s">
        <v>291</v>
      </c>
      <c r="C275" s="9" t="s">
        <v>33</v>
      </c>
      <c r="D275" s="9" t="s">
        <v>34</v>
      </c>
      <c r="E275" s="9" t="s">
        <v>34</v>
      </c>
      <c r="F275" s="9" t="s">
        <v>34</v>
      </c>
      <c r="G275" s="9" t="s">
        <v>303</v>
      </c>
      <c r="H275" s="9" t="s">
        <v>34</v>
      </c>
      <c r="I275" s="9" t="s">
        <v>34</v>
      </c>
      <c r="J275" s="9" t="s">
        <v>34</v>
      </c>
      <c r="K275" s="9" t="s">
        <v>34</v>
      </c>
      <c r="L275" s="9" t="s">
        <v>34</v>
      </c>
      <c r="M275" s="9" t="s">
        <v>34</v>
      </c>
      <c r="N275" s="9" t="s">
        <v>34</v>
      </c>
      <c r="O275" s="9" t="s">
        <v>34</v>
      </c>
      <c r="P275" s="9" t="s">
        <v>34</v>
      </c>
      <c r="Q275" s="9" t="s">
        <v>34</v>
      </c>
      <c r="R275" s="9" t="s">
        <v>34</v>
      </c>
      <c r="S275" s="9" t="s">
        <v>34</v>
      </c>
      <c r="T275" s="9" t="s">
        <v>34</v>
      </c>
      <c r="U275" s="9" t="s">
        <v>34</v>
      </c>
      <c r="V275" s="9" t="s">
        <v>34</v>
      </c>
      <c r="W275" s="9" t="s">
        <v>34</v>
      </c>
      <c r="X275" s="9" t="s">
        <v>34</v>
      </c>
      <c r="Y275" s="9" t="s">
        <v>34</v>
      </c>
      <c r="Z275" s="9" t="s">
        <v>34</v>
      </c>
      <c r="AA275" s="9" t="s">
        <v>34</v>
      </c>
      <c r="AB275" s="9" t="s">
        <v>34</v>
      </c>
      <c r="AC275" s="9" t="s">
        <v>34</v>
      </c>
      <c r="AD275" s="9" t="s">
        <v>34</v>
      </c>
      <c r="AE275" s="9" t="s">
        <v>34</v>
      </c>
      <c r="AF275" s="56" t="s">
        <v>34</v>
      </c>
      <c r="AG275" s="135"/>
      <c r="AH275" s="49"/>
      <c r="AI275" s="49"/>
      <c r="AJ275" s="49"/>
      <c r="AN275" s="80"/>
      <c r="AO275" s="78"/>
    </row>
    <row r="276" spans="1:41">
      <c r="A276" s="117"/>
      <c r="B276" s="7" t="s">
        <v>292</v>
      </c>
      <c r="C276" s="9" t="s">
        <v>33</v>
      </c>
      <c r="D276" s="9" t="s">
        <v>33</v>
      </c>
      <c r="E276" s="9" t="s">
        <v>303</v>
      </c>
      <c r="F276" s="9" t="s">
        <v>34</v>
      </c>
      <c r="G276" s="9" t="s">
        <v>303</v>
      </c>
      <c r="H276" s="9" t="s">
        <v>34</v>
      </c>
      <c r="I276" s="9" t="s">
        <v>34</v>
      </c>
      <c r="J276" s="9" t="s">
        <v>34</v>
      </c>
      <c r="K276" s="9" t="s">
        <v>34</v>
      </c>
      <c r="L276" s="9" t="s">
        <v>34</v>
      </c>
      <c r="M276" s="9" t="s">
        <v>34</v>
      </c>
      <c r="N276" s="9" t="s">
        <v>34</v>
      </c>
      <c r="O276" s="9" t="s">
        <v>34</v>
      </c>
      <c r="P276" s="9" t="s">
        <v>34</v>
      </c>
      <c r="Q276" s="9" t="s">
        <v>34</v>
      </c>
      <c r="R276" s="9" t="s">
        <v>34</v>
      </c>
      <c r="S276" s="9" t="s">
        <v>34</v>
      </c>
      <c r="T276" s="9" t="s">
        <v>34</v>
      </c>
      <c r="U276" s="9" t="s">
        <v>34</v>
      </c>
      <c r="V276" s="9" t="s">
        <v>34</v>
      </c>
      <c r="W276" s="9" t="s">
        <v>34</v>
      </c>
      <c r="X276" s="9" t="s">
        <v>34</v>
      </c>
      <c r="Y276" s="9" t="s">
        <v>34</v>
      </c>
      <c r="Z276" s="9" t="s">
        <v>34</v>
      </c>
      <c r="AA276" s="9" t="s">
        <v>34</v>
      </c>
      <c r="AB276" s="9" t="s">
        <v>34</v>
      </c>
      <c r="AC276" s="9" t="s">
        <v>34</v>
      </c>
      <c r="AD276" s="9" t="s">
        <v>34</v>
      </c>
      <c r="AE276" s="9" t="s">
        <v>34</v>
      </c>
      <c r="AF276" s="56" t="s">
        <v>34</v>
      </c>
      <c r="AG276" s="135"/>
      <c r="AH276" s="50"/>
      <c r="AI276" s="49"/>
      <c r="AJ276" s="49"/>
      <c r="AO276" s="78"/>
    </row>
    <row r="277" spans="1:41">
      <c r="A277" s="117"/>
      <c r="B277" s="7" t="s">
        <v>293</v>
      </c>
      <c r="C277" s="9" t="s">
        <v>33</v>
      </c>
      <c r="D277" s="9" t="s">
        <v>34</v>
      </c>
      <c r="E277" s="9" t="s">
        <v>34</v>
      </c>
      <c r="F277" s="9" t="s">
        <v>34</v>
      </c>
      <c r="G277" s="9" t="s">
        <v>34</v>
      </c>
      <c r="H277" s="9" t="s">
        <v>34</v>
      </c>
      <c r="I277" s="9" t="s">
        <v>34</v>
      </c>
      <c r="J277" s="9" t="s">
        <v>34</v>
      </c>
      <c r="K277" s="9" t="s">
        <v>34</v>
      </c>
      <c r="L277" s="9" t="s">
        <v>34</v>
      </c>
      <c r="M277" s="9" t="s">
        <v>34</v>
      </c>
      <c r="N277" s="9" t="s">
        <v>34</v>
      </c>
      <c r="O277" s="9" t="s">
        <v>34</v>
      </c>
      <c r="P277" s="9" t="s">
        <v>34</v>
      </c>
      <c r="Q277" s="9" t="s">
        <v>34</v>
      </c>
      <c r="R277" s="9" t="s">
        <v>34</v>
      </c>
      <c r="S277" s="9" t="s">
        <v>34</v>
      </c>
      <c r="T277" s="9" t="s">
        <v>34</v>
      </c>
      <c r="U277" s="9" t="s">
        <v>34</v>
      </c>
      <c r="V277" s="9" t="s">
        <v>34</v>
      </c>
      <c r="W277" s="9" t="s">
        <v>34</v>
      </c>
      <c r="X277" s="9" t="s">
        <v>34</v>
      </c>
      <c r="Y277" s="9" t="s">
        <v>34</v>
      </c>
      <c r="Z277" s="9" t="s">
        <v>34</v>
      </c>
      <c r="AA277" s="9" t="s">
        <v>34</v>
      </c>
      <c r="AB277" s="9" t="s">
        <v>34</v>
      </c>
      <c r="AC277" s="9" t="s">
        <v>34</v>
      </c>
      <c r="AD277" s="9" t="s">
        <v>34</v>
      </c>
      <c r="AE277" s="9" t="s">
        <v>34</v>
      </c>
      <c r="AF277" s="56" t="s">
        <v>34</v>
      </c>
      <c r="AG277" s="135"/>
      <c r="AO277" s="78"/>
    </row>
    <row r="278" spans="1:41">
      <c r="A278" s="117"/>
      <c r="B278" s="7" t="s">
        <v>294</v>
      </c>
      <c r="C278" s="9" t="s">
        <v>34</v>
      </c>
      <c r="D278" s="9" t="s">
        <v>34</v>
      </c>
      <c r="E278" s="9" t="s">
        <v>34</v>
      </c>
      <c r="F278" s="9" t="s">
        <v>34</v>
      </c>
      <c r="G278" s="9" t="s">
        <v>34</v>
      </c>
      <c r="H278" s="9" t="s">
        <v>34</v>
      </c>
      <c r="I278" s="9" t="s">
        <v>34</v>
      </c>
      <c r="J278" s="9" t="s">
        <v>34</v>
      </c>
      <c r="K278" s="9" t="s">
        <v>34</v>
      </c>
      <c r="L278" s="9" t="s">
        <v>34</v>
      </c>
      <c r="M278" s="9" t="s">
        <v>34</v>
      </c>
      <c r="N278" s="9" t="s">
        <v>34</v>
      </c>
      <c r="O278" s="9" t="s">
        <v>34</v>
      </c>
      <c r="P278" s="9" t="s">
        <v>34</v>
      </c>
      <c r="Q278" s="9" t="s">
        <v>34</v>
      </c>
      <c r="R278" s="9" t="s">
        <v>34</v>
      </c>
      <c r="S278" s="9" t="s">
        <v>34</v>
      </c>
      <c r="T278" s="9" t="s">
        <v>34</v>
      </c>
      <c r="U278" s="9" t="s">
        <v>34</v>
      </c>
      <c r="V278" s="9" t="s">
        <v>34</v>
      </c>
      <c r="W278" s="9" t="s">
        <v>34</v>
      </c>
      <c r="X278" s="9" t="s">
        <v>34</v>
      </c>
      <c r="Y278" s="9" t="s">
        <v>34</v>
      </c>
      <c r="Z278" s="9" t="s">
        <v>34</v>
      </c>
      <c r="AA278" s="9" t="s">
        <v>34</v>
      </c>
      <c r="AB278" s="9" t="s">
        <v>34</v>
      </c>
      <c r="AC278" s="9" t="s">
        <v>34</v>
      </c>
      <c r="AD278" s="9" t="s">
        <v>34</v>
      </c>
      <c r="AE278" s="9" t="s">
        <v>34</v>
      </c>
      <c r="AF278" s="56" t="s">
        <v>34</v>
      </c>
      <c r="AG278" s="135"/>
      <c r="AO278" s="78"/>
    </row>
    <row r="279" spans="1:41" ht="15.75" customHeight="1" thickBot="1">
      <c r="A279" s="118"/>
      <c r="B279" s="63" t="s">
        <v>295</v>
      </c>
      <c r="C279" s="64" t="s">
        <v>34</v>
      </c>
      <c r="D279" s="64" t="s">
        <v>34</v>
      </c>
      <c r="E279" s="64" t="s">
        <v>34</v>
      </c>
      <c r="F279" s="64" t="s">
        <v>34</v>
      </c>
      <c r="G279" s="64" t="s">
        <v>34</v>
      </c>
      <c r="H279" s="64" t="s">
        <v>34</v>
      </c>
      <c r="I279" s="64" t="s">
        <v>34</v>
      </c>
      <c r="J279" s="64" t="s">
        <v>34</v>
      </c>
      <c r="K279" s="64" t="s">
        <v>34</v>
      </c>
      <c r="L279" s="64" t="s">
        <v>34</v>
      </c>
      <c r="M279" s="64" t="s">
        <v>34</v>
      </c>
      <c r="N279" s="64" t="s">
        <v>34</v>
      </c>
      <c r="O279" s="64" t="s">
        <v>34</v>
      </c>
      <c r="P279" s="64" t="s">
        <v>34</v>
      </c>
      <c r="Q279" s="64" t="s">
        <v>34</v>
      </c>
      <c r="R279" s="64" t="s">
        <v>34</v>
      </c>
      <c r="S279" s="64" t="s">
        <v>34</v>
      </c>
      <c r="T279" s="64" t="s">
        <v>34</v>
      </c>
      <c r="U279" s="64" t="s">
        <v>34</v>
      </c>
      <c r="V279" s="64" t="s">
        <v>34</v>
      </c>
      <c r="W279" s="64" t="s">
        <v>34</v>
      </c>
      <c r="X279" s="64" t="s">
        <v>34</v>
      </c>
      <c r="Y279" s="64" t="s">
        <v>34</v>
      </c>
      <c r="Z279" s="64" t="s">
        <v>34</v>
      </c>
      <c r="AA279" s="64" t="s">
        <v>34</v>
      </c>
      <c r="AB279" s="64" t="s">
        <v>34</v>
      </c>
      <c r="AC279" s="64" t="s">
        <v>34</v>
      </c>
      <c r="AD279" s="64" t="s">
        <v>34</v>
      </c>
      <c r="AE279" s="64" t="s">
        <v>34</v>
      </c>
      <c r="AF279" s="65" t="s">
        <v>34</v>
      </c>
      <c r="AG279" s="135"/>
      <c r="AO279" s="78"/>
    </row>
  </sheetData>
  <mergeCells count="162">
    <mergeCell ref="AO145:AO173"/>
    <mergeCell ref="AO176:AO193"/>
    <mergeCell ref="AO194:AO218"/>
    <mergeCell ref="AO219:AO231"/>
    <mergeCell ref="AO234:AO261"/>
    <mergeCell ref="AO262:AO279"/>
    <mergeCell ref="AM234:AM250"/>
    <mergeCell ref="AN234:AN252"/>
    <mergeCell ref="AG237:AG261"/>
    <mergeCell ref="AG262:AG263"/>
    <mergeCell ref="AH262:AH265"/>
    <mergeCell ref="AI262:AI269"/>
    <mergeCell ref="AJ262:AJ270"/>
    <mergeCell ref="AK262:AK271"/>
    <mergeCell ref="AL262:AL272"/>
    <mergeCell ref="AM262:AM273"/>
    <mergeCell ref="AN262:AN275"/>
    <mergeCell ref="AG264:AG279"/>
    <mergeCell ref="AM194:AM212"/>
    <mergeCell ref="AN194:AN213"/>
    <mergeCell ref="AG199:AG218"/>
    <mergeCell ref="AH219:AH222"/>
    <mergeCell ref="AI219:AI223"/>
    <mergeCell ref="AJ219:AJ223"/>
    <mergeCell ref="AM219:AM227"/>
    <mergeCell ref="AN219:AN228"/>
    <mergeCell ref="AG220:AG231"/>
    <mergeCell ref="AM145:AM163"/>
    <mergeCell ref="AN145:AN165"/>
    <mergeCell ref="AG148:AG173"/>
    <mergeCell ref="AG176:AG178"/>
    <mergeCell ref="AH176:AH179"/>
    <mergeCell ref="AI176:AI183"/>
    <mergeCell ref="AJ176:AJ184"/>
    <mergeCell ref="AK176:AK186"/>
    <mergeCell ref="AL176:AL189"/>
    <mergeCell ref="AM176:AM189"/>
    <mergeCell ref="AN176:AN189"/>
    <mergeCell ref="AG179:AG193"/>
    <mergeCell ref="AG145:AG147"/>
    <mergeCell ref="AH145:AH149"/>
    <mergeCell ref="AI145:AI152"/>
    <mergeCell ref="AJ145:AJ154"/>
    <mergeCell ref="AK145:AK157"/>
    <mergeCell ref="AL145:AL158"/>
    <mergeCell ref="AG234:AG236"/>
    <mergeCell ref="AH234:AH240"/>
    <mergeCell ref="AI234:AI244"/>
    <mergeCell ref="AJ234:AJ247"/>
    <mergeCell ref="AK234:AK248"/>
    <mergeCell ref="AL234:AL249"/>
    <mergeCell ref="AG194:AG198"/>
    <mergeCell ref="AH194:AH200"/>
    <mergeCell ref="AI194:AI203"/>
    <mergeCell ref="AJ194:AJ207"/>
    <mergeCell ref="AK194:AK208"/>
    <mergeCell ref="AL194:AL209"/>
    <mergeCell ref="AK219:AK224"/>
    <mergeCell ref="AL219:AL224"/>
    <mergeCell ref="A262:A279"/>
    <mergeCell ref="A176:A193"/>
    <mergeCell ref="A219:A231"/>
    <mergeCell ref="A234:A261"/>
    <mergeCell ref="A145:A151"/>
    <mergeCell ref="A194:A218"/>
    <mergeCell ref="A2:AF2"/>
    <mergeCell ref="A65:A78"/>
    <mergeCell ref="A107:AF107"/>
    <mergeCell ref="A3:A16"/>
    <mergeCell ref="A233:AF233"/>
    <mergeCell ref="A108:A122"/>
    <mergeCell ref="A17:A27"/>
    <mergeCell ref="A123:A142"/>
    <mergeCell ref="A152:A173"/>
    <mergeCell ref="A175:AF175"/>
    <mergeCell ref="A49:A64"/>
    <mergeCell ref="A38:A46"/>
    <mergeCell ref="A79:A105"/>
    <mergeCell ref="A28:A37"/>
    <mergeCell ref="A144:AF144"/>
    <mergeCell ref="A48:AF48"/>
    <mergeCell ref="AO3:AO16"/>
    <mergeCell ref="AG17:AG19"/>
    <mergeCell ref="AH17:AH20"/>
    <mergeCell ref="AI17:AI24"/>
    <mergeCell ref="AJ17:AJ25"/>
    <mergeCell ref="AK17:AK26"/>
    <mergeCell ref="AL17:AL26"/>
    <mergeCell ref="AM17:AM26"/>
    <mergeCell ref="AK3:AK16"/>
    <mergeCell ref="AL3:AL16"/>
    <mergeCell ref="AM3:AM16"/>
    <mergeCell ref="AN3:AN16"/>
    <mergeCell ref="AG3:AG14"/>
    <mergeCell ref="AH3:AH16"/>
    <mergeCell ref="AI3:AI16"/>
    <mergeCell ref="AJ3:AJ16"/>
    <mergeCell ref="AG15:AG16"/>
    <mergeCell ref="AN17:AN27"/>
    <mergeCell ref="AO17:AO27"/>
    <mergeCell ref="AG28:AG30"/>
    <mergeCell ref="AH28:AH31"/>
    <mergeCell ref="AJ28:AJ36"/>
    <mergeCell ref="AM28:AM37"/>
    <mergeCell ref="AI28:AI33"/>
    <mergeCell ref="AK28:AK36"/>
    <mergeCell ref="AL28:AL36"/>
    <mergeCell ref="AN28:AN37"/>
    <mergeCell ref="AO49:AO64"/>
    <mergeCell ref="AO28:AO37"/>
    <mergeCell ref="AH38:AH41"/>
    <mergeCell ref="AI38:AI43"/>
    <mergeCell ref="AL38:AL46"/>
    <mergeCell ref="AJ38:AJ40"/>
    <mergeCell ref="AK38:AK42"/>
    <mergeCell ref="AM38:AM46"/>
    <mergeCell ref="AN38:AN46"/>
    <mergeCell ref="AO38:AO46"/>
    <mergeCell ref="AO65:AO78"/>
    <mergeCell ref="AM79:AM90"/>
    <mergeCell ref="AN79:AN99"/>
    <mergeCell ref="AO79:AO105"/>
    <mergeCell ref="AG20:AG27"/>
    <mergeCell ref="AG31:AG46"/>
    <mergeCell ref="AJ65:AJ78"/>
    <mergeCell ref="AK65:AK78"/>
    <mergeCell ref="AG56:AG64"/>
    <mergeCell ref="AG65:AG78"/>
    <mergeCell ref="AH65:AH68"/>
    <mergeCell ref="AI65:AI70"/>
    <mergeCell ref="AL65:AL78"/>
    <mergeCell ref="AM65:AM78"/>
    <mergeCell ref="AN65:AN78"/>
    <mergeCell ref="AG79:AG105"/>
    <mergeCell ref="AG49:AG55"/>
    <mergeCell ref="AH49:AH60"/>
    <mergeCell ref="AI49:AI64"/>
    <mergeCell ref="AJ49:AJ64"/>
    <mergeCell ref="AK49:AK64"/>
    <mergeCell ref="AL49:AL64"/>
    <mergeCell ref="AM49:AM64"/>
    <mergeCell ref="AN49:AN64"/>
    <mergeCell ref="AG108:AG111"/>
    <mergeCell ref="AG112:AG122"/>
    <mergeCell ref="AH108:AH113"/>
    <mergeCell ref="AI108:AI116"/>
    <mergeCell ref="AJ108:AJ117"/>
    <mergeCell ref="AK108:AK118"/>
    <mergeCell ref="AL108:AL119"/>
    <mergeCell ref="AM108:AM120"/>
    <mergeCell ref="AO108:AO122"/>
    <mergeCell ref="AN108:AN121"/>
    <mergeCell ref="AG123:AG124"/>
    <mergeCell ref="AG125:AG142"/>
    <mergeCell ref="AH123:AH125"/>
    <mergeCell ref="AI123:AI127"/>
    <mergeCell ref="AJ123:AJ130"/>
    <mergeCell ref="AO123:AO142"/>
    <mergeCell ref="AN123:AN138"/>
    <mergeCell ref="AM123:AM136"/>
    <mergeCell ref="AL123:AL135"/>
    <mergeCell ref="AK123:AK133"/>
  </mergeCells>
  <conditionalFormatting sqref="C3:XFD279">
    <cfRule type="expression" dxfId="12" priority="2">
      <formula>C3="Consolidado"</formula>
    </cfRule>
    <cfRule type="expression" dxfId="11" priority="3">
      <formula>C3="En proceso"</formula>
    </cfRule>
    <cfRule type="expression" dxfId="10" priority="4">
      <formula>C3="Proyección"</formula>
    </cfRule>
    <cfRule type="expression" dxfId="9" priority="5">
      <formula>C3="N/A"</formula>
    </cfRule>
  </conditionalFormatting>
  <pageMargins left="0.7" right="0.7" top="0.75" bottom="0.75" header="0.3" footer="0.3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Selecciona un estado válido." prompt="N/A | Proyección | En proceso | Consolidado" xr:uid="{00000000-0002-0000-0000-000000000000}">
          <x14:formula1>
            <xm:f>CATALOGOS!$A$2:$A$5</xm:f>
          </x14:formula1>
          <xm:sqref>C176:XFD231 C3:XFD46 C49:XFD105 C108:XFD142 C145:XFD173 C234:XFD279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93"/>
  <sheetViews>
    <sheetView showGridLines="0" zoomScale="90" workbookViewId="0">
      <pane ySplit="26" topLeftCell="A27" activePane="bottomLeft" state="frozen"/>
      <selection activeCell="B1" sqref="B1"/>
      <selection pane="bottomLeft" activeCell="D37" sqref="D37"/>
    </sheetView>
  </sheetViews>
  <sheetFormatPr baseColWidth="10" defaultColWidth="8.85546875" defaultRowHeight="15"/>
  <cols>
    <col min="1" max="1" width="28" customWidth="1"/>
    <col min="2" max="2" width="54" customWidth="1"/>
    <col min="3" max="3" width="18" customWidth="1"/>
    <col min="4" max="4" width="28" customWidth="1"/>
    <col min="5" max="7" width="14" customWidth="1"/>
    <col min="8" max="8" width="13" customWidth="1"/>
  </cols>
  <sheetData>
    <row r="1" spans="1:8" ht="21">
      <c r="A1" s="137" t="s">
        <v>315</v>
      </c>
      <c r="B1" s="130"/>
      <c r="C1" s="130"/>
      <c r="D1" s="130"/>
      <c r="E1" s="130"/>
      <c r="F1" s="130"/>
      <c r="G1" s="130"/>
      <c r="H1" s="130"/>
    </row>
    <row r="3" spans="1:8">
      <c r="A3" s="12" t="s">
        <v>316</v>
      </c>
      <c r="B3" t="s">
        <v>0</v>
      </c>
    </row>
    <row r="5" spans="1:8">
      <c r="A5" s="11" t="s">
        <v>317</v>
      </c>
      <c r="D5" s="11" t="s">
        <v>318</v>
      </c>
      <c r="E5" s="11" t="s">
        <v>33</v>
      </c>
      <c r="F5" s="11" t="s">
        <v>303</v>
      </c>
      <c r="G5" s="11" t="s">
        <v>34</v>
      </c>
      <c r="H5" s="11" t="s">
        <v>313</v>
      </c>
    </row>
    <row r="6" spans="1:8">
      <c r="A6" s="12" t="s">
        <v>311</v>
      </c>
      <c r="B6">
        <f>INDEX(CONSOLIDADO!$B$4:$B$1048576,MATCH($B$3,CONSOLIDADO!$A$4:$A$1048576,0))</f>
        <v>267</v>
      </c>
      <c r="D6" t="s">
        <v>31</v>
      </c>
      <c r="E6">
        <f>--(INDEX(NORMATIVOS!$C$3:$XFD$3,1,MATCH($B$3,NORMATIVOS!$C$1:$XFD$1,0))="Consolidado")+--(INDEX(NORMATIVOS!$C$4:$XFD$4,1,MATCH($B$3,NORMATIVOS!$C$1:$XFD$1,0))="Consolidado")+--(INDEX(NORMATIVOS!$C$5:$XFD$5,1,MATCH($B$3,NORMATIVOS!$C$1:$XFD$1,0))="Consolidado")+--(INDEX(NORMATIVOS!$C$6:$XFD$6,1,MATCH($B$3,NORMATIVOS!$C$1:$XFD$1,0))="Consolidado")+--(INDEX(NORMATIVOS!$C$7:$XFD$7,1,MATCH($B$3,NORMATIVOS!$C$1:$XFD$1,0))="Consolidado")+--(INDEX(NORMATIVOS!$C$8:$XFD$8,1,MATCH($B$3,NORMATIVOS!$C$1:$XFD$1,0))="Consolidado")+--(INDEX(NORMATIVOS!$C$9:$XFD$9,1,MATCH($B$3,NORMATIVOS!$C$1:$XFD$1,0))="Consolidado")+--(INDEX(NORMATIVOS!$C$10:$XFD$10,1,MATCH($B$3,NORMATIVOS!$C$1:$XFD$1,0))="Consolidado")+--(INDEX(NORMATIVOS!$C$11:$XFD$11,1,MATCH($B$3,NORMATIVOS!$C$1:$XFD$1,0))="Consolidado")+--(INDEX(NORMATIVOS!$C$12:$XFD$12,1,MATCH($B$3,NORMATIVOS!$C$1:$XFD$1,0))="Consolidado")+--(INDEX(NORMATIVOS!$C$13:$XFD$13,1,MATCH($B$3,NORMATIVOS!$C$1:$XFD$1,0))="Consolidado")+--(INDEX(NORMATIVOS!$C$14:$XFD$14,1,MATCH($B$3,NORMATIVOS!$C$1:$XFD$1,0))="Consolidado")+--(INDEX(NORMATIVOS!$C$15:$XFD$15,1,MATCH($B$3,NORMATIVOS!$C$1:$XFD$1,0))="Consolidado")+--(INDEX(NORMATIVOS!$C$16:$XFD$16,1,MATCH($B$3,NORMATIVOS!$C$1:$XFD$1,0))="Consolidado")</f>
        <v>14</v>
      </c>
      <c r="F6">
        <f>--(INDEX(NORMATIVOS!$C$3:$XFD$3,1,MATCH($B$3,NORMATIVOS!$C$1:$XFD$1,0))="En proceso")+--(INDEX(NORMATIVOS!$C$4:$XFD$4,1,MATCH($B$3,NORMATIVOS!$C$1:$XFD$1,0))="En proceso")+--(INDEX(NORMATIVOS!$C$5:$XFD$5,1,MATCH($B$3,NORMATIVOS!$C$1:$XFD$1,0))="En proceso")+--(INDEX(NORMATIVOS!$C$6:$XFD$6,1,MATCH($B$3,NORMATIVOS!$C$1:$XFD$1,0))="En proceso")+--(INDEX(NORMATIVOS!$C$7:$XFD$7,1,MATCH($B$3,NORMATIVOS!$C$1:$XFD$1,0))="En proceso")+--(INDEX(NORMATIVOS!$C$8:$XFD$8,1,MATCH($B$3,NORMATIVOS!$C$1:$XFD$1,0))="En proceso")+--(INDEX(NORMATIVOS!$C$9:$XFD$9,1,MATCH($B$3,NORMATIVOS!$C$1:$XFD$1,0))="En proceso")+--(INDEX(NORMATIVOS!$C$10:$XFD$10,1,MATCH($B$3,NORMATIVOS!$C$1:$XFD$1,0))="En proceso")+--(INDEX(NORMATIVOS!$C$11:$XFD$11,1,MATCH($B$3,NORMATIVOS!$C$1:$XFD$1,0))="En proceso")+--(INDEX(NORMATIVOS!$C$12:$XFD$12,1,MATCH($B$3,NORMATIVOS!$C$1:$XFD$1,0))="En proceso")+--(INDEX(NORMATIVOS!$C$13:$XFD$13,1,MATCH($B$3,NORMATIVOS!$C$1:$XFD$1,0))="En proceso")+--(INDEX(NORMATIVOS!$C$14:$XFD$14,1,MATCH($B$3,NORMATIVOS!$C$1:$XFD$1,0))="En proceso")+--(INDEX(NORMATIVOS!$C$15:$XFD$15,1,MATCH($B$3,NORMATIVOS!$C$1:$XFD$1,0))="En proceso")+--(INDEX(NORMATIVOS!$C$16:$XFD$16,1,MATCH($B$3,NORMATIVOS!$C$1:$XFD$1,0))="En proceso")</f>
        <v>0</v>
      </c>
      <c r="G6">
        <f>--(INDEX(NORMATIVOS!$C$3:$XFD$3,1,MATCH($B$3,NORMATIVOS!$C$1:$XFD$1,0))="Proyección")+--(INDEX(NORMATIVOS!$C$4:$XFD$4,1,MATCH($B$3,NORMATIVOS!$C$1:$XFD$1,0))="Proyección")+--(INDEX(NORMATIVOS!$C$5:$XFD$5,1,MATCH($B$3,NORMATIVOS!$C$1:$XFD$1,0))="Proyección")+--(INDEX(NORMATIVOS!$C$6:$XFD$6,1,MATCH($B$3,NORMATIVOS!$C$1:$XFD$1,0))="Proyección")+--(INDEX(NORMATIVOS!$C$7:$XFD$7,1,MATCH($B$3,NORMATIVOS!$C$1:$XFD$1,0))="Proyección")+--(INDEX(NORMATIVOS!$C$8:$XFD$8,1,MATCH($B$3,NORMATIVOS!$C$1:$XFD$1,0))="Proyección")+--(INDEX(NORMATIVOS!$C$9:$XFD$9,1,MATCH($B$3,NORMATIVOS!$C$1:$XFD$1,0))="Proyección")+--(INDEX(NORMATIVOS!$C$10:$XFD$10,1,MATCH($B$3,NORMATIVOS!$C$1:$XFD$1,0))="Proyección")+--(INDEX(NORMATIVOS!$C$11:$XFD$11,1,MATCH($B$3,NORMATIVOS!$C$1:$XFD$1,0))="Proyección")+--(INDEX(NORMATIVOS!$C$12:$XFD$12,1,MATCH($B$3,NORMATIVOS!$C$1:$XFD$1,0))="Proyección")+--(INDEX(NORMATIVOS!$C$13:$XFD$13,1,MATCH($B$3,NORMATIVOS!$C$1:$XFD$1,0))="Proyección")+--(INDEX(NORMATIVOS!$C$14:$XFD$14,1,MATCH($B$3,NORMATIVOS!$C$1:$XFD$1,0))="Proyección")+--(INDEX(NORMATIVOS!$C$15:$XFD$15,1,MATCH($B$3,NORMATIVOS!$C$1:$XFD$1,0))="Proyección")+--(INDEX(NORMATIVOS!$C$16:$XFD$16,1,MATCH($B$3,NORMATIVOS!$C$1:$XFD$1,0))="Proyección")</f>
        <v>0</v>
      </c>
      <c r="H6" s="13">
        <f>IFERROR(E6/COUNTA(NORMATIVOS!$B$3:$B$16),0)</f>
        <v>1.0</v>
      </c>
    </row>
    <row r="7" spans="1:8">
      <c r="A7" s="12" t="s">
        <v>312</v>
      </c>
      <c r="B7">
        <f>INDEX(CONSOLIDADO!$C$4:$C$1048576,MATCH($B$3,CONSOLIDADO!$A$4:$A$1048576,0))</f>
        <v>227</v>
      </c>
      <c r="D7" t="s">
        <v>301</v>
      </c>
      <c r="E7">
        <f>--(INDEX(NORMATIVOS!$C$17:$XFD$17,1,MATCH($B$3,NORMATIVOS!$C$1:$XFD$1,0))="Consolidado")+--(INDEX(NORMATIVOS!$C$18:$XFD$18,1,MATCH($B$3,NORMATIVOS!$C$1:$XFD$1,0))="Consolidado")+--(INDEX(NORMATIVOS!$C$19:$XFD$19,1,MATCH($B$3,NORMATIVOS!$C$1:$XFD$1,0))="Consolidado")+--(INDEX(NORMATIVOS!$C$20:$XFD$20,1,MATCH($B$3,NORMATIVOS!$C$1:$XFD$1,0))="Consolidado")+--(INDEX(NORMATIVOS!$C$21:$XFD$21,1,MATCH($B$3,NORMATIVOS!$C$1:$XFD$1,0))="Consolidado")+--(INDEX(NORMATIVOS!$C$22:$XFD$22,1,MATCH($B$3,NORMATIVOS!$C$1:$XFD$1,0))="Consolidado")+--(INDEX(NORMATIVOS!$C$23:$XFD$23,1,MATCH($B$3,NORMATIVOS!$C$1:$XFD$1,0))="Consolidado")+--(INDEX(NORMATIVOS!$C$24:$XFD$24,1,MATCH($B$3,NORMATIVOS!$C$1:$XFD$1,0))="Consolidado")+--(INDEX(NORMATIVOS!$C$25:$XFD$25,1,MATCH($B$3,NORMATIVOS!$C$1:$XFD$1,0))="Consolidado")+--(INDEX(NORMATIVOS!$C$26:$XFD$26,1,MATCH($B$3,NORMATIVOS!$C$1:$XFD$1,0))="Consolidado")+--(INDEX(NORMATIVOS!$C$27:$XFD$27,1,MATCH($B$3,NORMATIVOS!$C$1:$XFD$1,0))="Consolidado")</f>
        <v>11</v>
      </c>
      <c r="F7">
        <f>--(INDEX(NORMATIVOS!$C$17:$XFD$17,1,MATCH($B$3,NORMATIVOS!$C$1:$XFD$1,0))="En proceso")+--(INDEX(NORMATIVOS!$C$18:$XFD$18,1,MATCH($B$3,NORMATIVOS!$C$1:$XFD$1,0))="En proceso")+--(INDEX(NORMATIVOS!$C$19:$XFD$19,1,MATCH($B$3,NORMATIVOS!$C$1:$XFD$1,0))="En proceso")+--(INDEX(NORMATIVOS!$C$20:$XFD$20,1,MATCH($B$3,NORMATIVOS!$C$1:$XFD$1,0))="En proceso")+--(INDEX(NORMATIVOS!$C$21:$XFD$21,1,MATCH($B$3,NORMATIVOS!$C$1:$XFD$1,0))="En proceso")+--(INDEX(NORMATIVOS!$C$22:$XFD$22,1,MATCH($B$3,NORMATIVOS!$C$1:$XFD$1,0))="En proceso")+--(INDEX(NORMATIVOS!$C$23:$XFD$23,1,MATCH($B$3,NORMATIVOS!$C$1:$XFD$1,0))="En proceso")+--(INDEX(NORMATIVOS!$C$24:$XFD$24,1,MATCH($B$3,NORMATIVOS!$C$1:$XFD$1,0))="En proceso")+--(INDEX(NORMATIVOS!$C$25:$XFD$25,1,MATCH($B$3,NORMATIVOS!$C$1:$XFD$1,0))="En proceso")+--(INDEX(NORMATIVOS!$C$26:$XFD$26,1,MATCH($B$3,NORMATIVOS!$C$1:$XFD$1,0))="En proceso")+--(INDEX(NORMATIVOS!$C$27:$XFD$27,1,MATCH($B$3,NORMATIVOS!$C$1:$XFD$1,0))="En proceso")</f>
        <v>0</v>
      </c>
      <c r="G7">
        <f>--(INDEX(NORMATIVOS!$C$17:$XFD$17,1,MATCH($B$3,NORMATIVOS!$C$1:$XFD$1,0))="Proyección")+--(INDEX(NORMATIVOS!$C$18:$XFD$18,1,MATCH($B$3,NORMATIVOS!$C$1:$XFD$1,0))="Proyección")+--(INDEX(NORMATIVOS!$C$19:$XFD$19,1,MATCH($B$3,NORMATIVOS!$C$1:$XFD$1,0))="Proyección")+--(INDEX(NORMATIVOS!$C$20:$XFD$20,1,MATCH($B$3,NORMATIVOS!$C$1:$XFD$1,0))="Proyección")+--(INDEX(NORMATIVOS!$C$21:$XFD$21,1,MATCH($B$3,NORMATIVOS!$C$1:$XFD$1,0))="Proyección")+--(INDEX(NORMATIVOS!$C$22:$XFD$22,1,MATCH($B$3,NORMATIVOS!$C$1:$XFD$1,0))="Proyección")+--(INDEX(NORMATIVOS!$C$23:$XFD$23,1,MATCH($B$3,NORMATIVOS!$C$1:$XFD$1,0))="Proyección")+--(INDEX(NORMATIVOS!$C$24:$XFD$24,1,MATCH($B$3,NORMATIVOS!$C$1:$XFD$1,0))="Proyección")+--(INDEX(NORMATIVOS!$C$25:$XFD$25,1,MATCH($B$3,NORMATIVOS!$C$1:$XFD$1,0))="Proyección")+--(INDEX(NORMATIVOS!$C$26:$XFD$26,1,MATCH($B$3,NORMATIVOS!$C$1:$XFD$1,0))="Proyección")+--(INDEX(NORMATIVOS!$C$27:$XFD$27,1,MATCH($B$3,NORMATIVOS!$C$1:$XFD$1,0))="Proyección")</f>
        <v>0</v>
      </c>
      <c r="H7" s="13">
        <f>IFERROR(E7/COUNTA(NORMATIVOS!$B$17:$B$27),0)</f>
        <v>1.0</v>
      </c>
    </row>
    <row r="8" spans="1:8">
      <c r="A8" s="12" t="s">
        <v>303</v>
      </c>
      <c r="B8">
        <f>INDEX(CONSOLIDADO!$D$4:$D$1048576,MATCH($B$3,CONSOLIDADO!$A$4:$A$1048576,0))</f>
        <v>7</v>
      </c>
      <c r="D8" t="s">
        <v>304</v>
      </c>
      <c r="E8">
        <f>--(INDEX(NORMATIVOS!$C$28:$XFD$28,1,MATCH($B$3,NORMATIVOS!$C$1:$XFD$1,0))="Consolidado")+--(INDEX(NORMATIVOS!$C$29:$XFD$29,1,MATCH($B$3,NORMATIVOS!$C$1:$XFD$1,0))="Consolidado")+--(INDEX(NORMATIVOS!$C$30:$XFD$30,1,MATCH($B$3,NORMATIVOS!$C$1:$XFD$1,0))="Consolidado")+--(INDEX(NORMATIVOS!$C$31:$XFD$31,1,MATCH($B$3,NORMATIVOS!$C$1:$XFD$1,0))="Consolidado")+--(INDEX(NORMATIVOS!$C$32:$XFD$32,1,MATCH($B$3,NORMATIVOS!$C$1:$XFD$1,0))="Consolidado")+--(INDEX(NORMATIVOS!$C$33:$XFD$33,1,MATCH($B$3,NORMATIVOS!$C$1:$XFD$1,0))="Consolidado")+--(INDEX(NORMATIVOS!$C$34:$XFD$34,1,MATCH($B$3,NORMATIVOS!$C$1:$XFD$1,0))="Consolidado")+--(INDEX(NORMATIVOS!$C$35:$XFD$35,1,MATCH($B$3,NORMATIVOS!$C$1:$XFD$1,0))="Consolidado")+--(INDEX(NORMATIVOS!$C$36:$XFD$36,1,MATCH($B$3,NORMATIVOS!$C$1:$XFD$1,0))="Consolidado")+--(INDEX(NORMATIVOS!$C$37:$XFD$37,1,MATCH($B$3,NORMATIVOS!$C$1:$XFD$1,0))="Consolidado")</f>
        <v>10</v>
      </c>
      <c r="F8">
        <f>--(INDEX(NORMATIVOS!$C$28:$XFD$28,1,MATCH($B$3,NORMATIVOS!$C$1:$XFD$1,0))="En proceso")+--(INDEX(NORMATIVOS!$C$29:$XFD$29,1,MATCH($B$3,NORMATIVOS!$C$1:$XFD$1,0))="En proceso")+--(INDEX(NORMATIVOS!$C$30:$XFD$30,1,MATCH($B$3,NORMATIVOS!$C$1:$XFD$1,0))="En proceso")+--(INDEX(NORMATIVOS!$C$31:$XFD$31,1,MATCH($B$3,NORMATIVOS!$C$1:$XFD$1,0))="En proceso")+--(INDEX(NORMATIVOS!$C$32:$XFD$32,1,MATCH($B$3,NORMATIVOS!$C$1:$XFD$1,0))="En proceso")+--(INDEX(NORMATIVOS!$C$33:$XFD$33,1,MATCH($B$3,NORMATIVOS!$C$1:$XFD$1,0))="En proceso")+--(INDEX(NORMATIVOS!$C$34:$XFD$34,1,MATCH($B$3,NORMATIVOS!$C$1:$XFD$1,0))="En proceso")+--(INDEX(NORMATIVOS!$C$35:$XFD$35,1,MATCH($B$3,NORMATIVOS!$C$1:$XFD$1,0))="En proceso")+--(INDEX(NORMATIVOS!$C$36:$XFD$36,1,MATCH($B$3,NORMATIVOS!$C$1:$XFD$1,0))="En proceso")+--(INDEX(NORMATIVOS!$C$37:$XFD$37,1,MATCH($B$3,NORMATIVOS!$C$1:$XFD$1,0))="En proceso")</f>
        <v>0</v>
      </c>
      <c r="G8">
        <f>--(INDEX(NORMATIVOS!$C$28:$XFD$28,1,MATCH($B$3,NORMATIVOS!$C$1:$XFD$1,0))="Proyección")+--(INDEX(NORMATIVOS!$C$29:$XFD$29,1,MATCH($B$3,NORMATIVOS!$C$1:$XFD$1,0))="Proyección")+--(INDEX(NORMATIVOS!$C$30:$XFD$30,1,MATCH($B$3,NORMATIVOS!$C$1:$XFD$1,0))="Proyección")+--(INDEX(NORMATIVOS!$C$31:$XFD$31,1,MATCH($B$3,NORMATIVOS!$C$1:$XFD$1,0))="Proyección")+--(INDEX(NORMATIVOS!$C$32:$XFD$32,1,MATCH($B$3,NORMATIVOS!$C$1:$XFD$1,0))="Proyección")+--(INDEX(NORMATIVOS!$C$33:$XFD$33,1,MATCH($B$3,NORMATIVOS!$C$1:$XFD$1,0))="Proyección")+--(INDEX(NORMATIVOS!$C$34:$XFD$34,1,MATCH($B$3,NORMATIVOS!$C$1:$XFD$1,0))="Proyección")+--(INDEX(NORMATIVOS!$C$35:$XFD$35,1,MATCH($B$3,NORMATIVOS!$C$1:$XFD$1,0))="Proyección")+--(INDEX(NORMATIVOS!$C$36:$XFD$36,1,MATCH($B$3,NORMATIVOS!$C$1:$XFD$1,0))="Proyección")+--(INDEX(NORMATIVOS!$C$37:$XFD$37,1,MATCH($B$3,NORMATIVOS!$C$1:$XFD$1,0))="Proyección")</f>
        <v>0</v>
      </c>
      <c r="H8" s="13">
        <f>IFERROR(E8/COUNTA(NORMATIVOS!$B$28:$B$37),0)</f>
        <v>1.0</v>
      </c>
    </row>
    <row r="9" spans="1:8">
      <c r="A9" s="12" t="s">
        <v>34</v>
      </c>
      <c r="B9">
        <f>INDEX(CONSOLIDADO!$E$4:$E$1048576,MATCH($B$3,CONSOLIDADO!$A$4:$A$1048576,0))</f>
        <v>24</v>
      </c>
      <c r="D9" t="s">
        <v>306</v>
      </c>
      <c r="E9">
        <f>--(INDEX(NORMATIVOS!$C$38:$XFD$38,1,MATCH($B$3,NORMATIVOS!$C$1:$XFD$1,0))="Consolidado")+--(INDEX(NORMATIVOS!$C$39:$XFD$39,1,MATCH($B$3,NORMATIVOS!$C$1:$XFD$1,0))="Consolidado")+--(INDEX(NORMATIVOS!$C$40:$XFD$40,1,MATCH($B$3,NORMATIVOS!$C$1:$XFD$1,0))="Consolidado")+--(INDEX(NORMATIVOS!$C$41:$XFD$41,1,MATCH($B$3,NORMATIVOS!$C$1:$XFD$1,0))="Consolidado")+--(INDEX(NORMATIVOS!$C$42:$XFD$42,1,MATCH($B$3,NORMATIVOS!$C$1:$XFD$1,0))="Consolidado")+--(INDEX(NORMATIVOS!$C$43:$XFD$43,1,MATCH($B$3,NORMATIVOS!$C$1:$XFD$1,0))="Consolidado")+--(INDEX(NORMATIVOS!$C$44:$XFD$44,1,MATCH($B$3,NORMATIVOS!$C$1:$XFD$1,0))="Consolidado")+--(INDEX(NORMATIVOS!$C$45:$XFD$45,1,MATCH($B$3,NORMATIVOS!$C$1:$XFD$1,0))="Consolidado")+--(INDEX(NORMATIVOS!$C$46:$XFD$46,1,MATCH($B$3,NORMATIVOS!$C$1:$XFD$1,0))="Consolidado")</f>
        <v>9</v>
      </c>
      <c r="F9">
        <f>--(INDEX(NORMATIVOS!$C$38:$XFD$38,1,MATCH($B$3,NORMATIVOS!$C$1:$XFD$1,0))="En proceso")+--(INDEX(NORMATIVOS!$C$39:$XFD$39,1,MATCH($B$3,NORMATIVOS!$C$1:$XFD$1,0))="En proceso")+--(INDEX(NORMATIVOS!$C$40:$XFD$40,1,MATCH($B$3,NORMATIVOS!$C$1:$XFD$1,0))="En proceso")+--(INDEX(NORMATIVOS!$C$41:$XFD$41,1,MATCH($B$3,NORMATIVOS!$C$1:$XFD$1,0))="En proceso")+--(INDEX(NORMATIVOS!$C$42:$XFD$42,1,MATCH($B$3,NORMATIVOS!$C$1:$XFD$1,0))="En proceso")+--(INDEX(NORMATIVOS!$C$43:$XFD$43,1,MATCH($B$3,NORMATIVOS!$C$1:$XFD$1,0))="En proceso")+--(INDEX(NORMATIVOS!$C$44:$XFD$44,1,MATCH($B$3,NORMATIVOS!$C$1:$XFD$1,0))="En proceso")+--(INDEX(NORMATIVOS!$C$45:$XFD$45,1,MATCH($B$3,NORMATIVOS!$C$1:$XFD$1,0))="En proceso")+--(INDEX(NORMATIVOS!$C$46:$XFD$46,1,MATCH($B$3,NORMATIVOS!$C$1:$XFD$1,0))="En proceso")</f>
        <v>0</v>
      </c>
      <c r="G9">
        <f>--(INDEX(NORMATIVOS!$C$38:$XFD$38,1,MATCH($B$3,NORMATIVOS!$C$1:$XFD$1,0))="Proyección")+--(INDEX(NORMATIVOS!$C$39:$XFD$39,1,MATCH($B$3,NORMATIVOS!$C$1:$XFD$1,0))="Proyección")+--(INDEX(NORMATIVOS!$C$40:$XFD$40,1,MATCH($B$3,NORMATIVOS!$C$1:$XFD$1,0))="Proyección")+--(INDEX(NORMATIVOS!$C$41:$XFD$41,1,MATCH($B$3,NORMATIVOS!$C$1:$XFD$1,0))="Proyección")+--(INDEX(NORMATIVOS!$C$42:$XFD$42,1,MATCH($B$3,NORMATIVOS!$C$1:$XFD$1,0))="Proyección")+--(INDEX(NORMATIVOS!$C$43:$XFD$43,1,MATCH($B$3,NORMATIVOS!$C$1:$XFD$1,0))="Proyección")+--(INDEX(NORMATIVOS!$C$44:$XFD$44,1,MATCH($B$3,NORMATIVOS!$C$1:$XFD$1,0))="Proyección")+--(INDEX(NORMATIVOS!$C$45:$XFD$45,1,MATCH($B$3,NORMATIVOS!$C$1:$XFD$1,0))="Proyección")+--(INDEX(NORMATIVOS!$C$46:$XFD$46,1,MATCH($B$3,NORMATIVOS!$C$1:$XFD$1,0))="Proyección")</f>
        <v>0</v>
      </c>
      <c r="H9" s="13">
        <f>IFERROR(E9/COUNTA(NORMATIVOS!$B$38:$B$46),0)</f>
        <v>1.0</v>
      </c>
    </row>
    <row r="10" spans="1:8">
      <c r="A10" s="12" t="s">
        <v>299</v>
      </c>
      <c r="B10">
        <f>INDEX(CONSOLIDADO!$F$4:$F$1048576,MATCH($B$3,CONSOLIDADO!$A$4:$A$1048576,0))</f>
        <v>9</v>
      </c>
      <c r="D10" t="s">
        <v>82</v>
      </c>
      <c r="E10">
        <f>--(INDEX(NORMATIVOS!$C$49:$XFD$49,1,MATCH($B$3,NORMATIVOS!$C$1:$XFD$1,0))="Consolidado")+--(INDEX(NORMATIVOS!$C$50:$XFD$50,1,MATCH($B$3,NORMATIVOS!$C$1:$XFD$1,0))="Consolidado")+--(INDEX(NORMATIVOS!$C$51:$XFD$51,1,MATCH($B$3,NORMATIVOS!$C$1:$XFD$1,0))="Consolidado")+--(INDEX(NORMATIVOS!$C$52:$XFD$52,1,MATCH($B$3,NORMATIVOS!$C$1:$XFD$1,0))="Consolidado")+--(INDEX(NORMATIVOS!$C$53:$XFD$53,1,MATCH($B$3,NORMATIVOS!$C$1:$XFD$1,0))="Consolidado")+--(INDEX(NORMATIVOS!$C$54:$XFD$54,1,MATCH($B$3,NORMATIVOS!$C$1:$XFD$1,0))="Consolidado")+--(INDEX(NORMATIVOS!$C$55:$XFD$55,1,MATCH($B$3,NORMATIVOS!$C$1:$XFD$1,0))="Consolidado")+--(INDEX(NORMATIVOS!$C$56:$XFD$56,1,MATCH($B$3,NORMATIVOS!$C$1:$XFD$1,0))="Consolidado")+--(INDEX(NORMATIVOS!$C$57:$XFD$57,1,MATCH($B$3,NORMATIVOS!$C$1:$XFD$1,0))="Consolidado")+--(INDEX(NORMATIVOS!$C$58:$XFD$58,1,MATCH($B$3,NORMATIVOS!$C$1:$XFD$1,0))="Consolidado")+--(INDEX(NORMATIVOS!$C$59:$XFD$59,1,MATCH($B$3,NORMATIVOS!$C$1:$XFD$1,0))="Consolidado")+--(INDEX(NORMATIVOS!$C$60:$XFD$60,1,MATCH($B$3,NORMATIVOS!$C$1:$XFD$1,0))="Consolidado")+--(INDEX(NORMATIVOS!$C$61:$XFD$61,1,MATCH($B$3,NORMATIVOS!$C$1:$XFD$1,0))="Consolidado")+--(INDEX(NORMATIVOS!$C$62:$XFD$62,1,MATCH($B$3,NORMATIVOS!$C$1:$XFD$1,0))="Consolidado")+--(INDEX(NORMATIVOS!$C$63:$XFD$63,1,MATCH($B$3,NORMATIVOS!$C$1:$XFD$1,0))="Consolidado")+--(INDEX(NORMATIVOS!$C$64:$XFD$64,1,MATCH($B$3,NORMATIVOS!$C$1:$XFD$1,0))="Consolidado")</f>
        <v>16</v>
      </c>
      <c r="F10">
        <f>--(INDEX(NORMATIVOS!$C$49:$XFD$49,1,MATCH($B$3,NORMATIVOS!$C$1:$XFD$1,0))="En proceso")+--(INDEX(NORMATIVOS!$C$50:$XFD$50,1,MATCH($B$3,NORMATIVOS!$C$1:$XFD$1,0))="En proceso")+--(INDEX(NORMATIVOS!$C$51:$XFD$51,1,MATCH($B$3,NORMATIVOS!$C$1:$XFD$1,0))="En proceso")+--(INDEX(NORMATIVOS!$C$52:$XFD$52,1,MATCH($B$3,NORMATIVOS!$C$1:$XFD$1,0))="En proceso")+--(INDEX(NORMATIVOS!$C$53:$XFD$53,1,MATCH($B$3,NORMATIVOS!$C$1:$XFD$1,0))="En proceso")+--(INDEX(NORMATIVOS!$C$54:$XFD$54,1,MATCH($B$3,NORMATIVOS!$C$1:$XFD$1,0))="En proceso")+--(INDEX(NORMATIVOS!$C$55:$XFD$55,1,MATCH($B$3,NORMATIVOS!$C$1:$XFD$1,0))="En proceso")+--(INDEX(NORMATIVOS!$C$56:$XFD$56,1,MATCH($B$3,NORMATIVOS!$C$1:$XFD$1,0))="En proceso")+--(INDEX(NORMATIVOS!$C$57:$XFD$57,1,MATCH($B$3,NORMATIVOS!$C$1:$XFD$1,0))="En proceso")+--(INDEX(NORMATIVOS!$C$58:$XFD$58,1,MATCH($B$3,NORMATIVOS!$C$1:$XFD$1,0))="En proceso")+--(INDEX(NORMATIVOS!$C$59:$XFD$59,1,MATCH($B$3,NORMATIVOS!$C$1:$XFD$1,0))="En proceso")+--(INDEX(NORMATIVOS!$C$60:$XFD$60,1,MATCH($B$3,NORMATIVOS!$C$1:$XFD$1,0))="En proceso")+--(INDEX(NORMATIVOS!$C$61:$XFD$61,1,MATCH($B$3,NORMATIVOS!$C$1:$XFD$1,0))="En proceso")+--(INDEX(NORMATIVOS!$C$62:$XFD$62,1,MATCH($B$3,NORMATIVOS!$C$1:$XFD$1,0))="En proceso")+--(INDEX(NORMATIVOS!$C$63:$XFD$63,1,MATCH($B$3,NORMATIVOS!$C$1:$XFD$1,0))="En proceso")+--(INDEX(NORMATIVOS!$C$64:$XFD$64,1,MATCH($B$3,NORMATIVOS!$C$1:$XFD$1,0))="En proceso")</f>
        <v>0</v>
      </c>
      <c r="G10">
        <f>--(INDEX(NORMATIVOS!$C$49:$XFD$49,1,MATCH($B$3,NORMATIVOS!$C$1:$XFD$1,0))="Proyección")+--(INDEX(NORMATIVOS!$C$50:$XFD$50,1,MATCH($B$3,NORMATIVOS!$C$1:$XFD$1,0))="Proyección")+--(INDEX(NORMATIVOS!$C$51:$XFD$51,1,MATCH($B$3,NORMATIVOS!$C$1:$XFD$1,0))="Proyección")+--(INDEX(NORMATIVOS!$C$52:$XFD$52,1,MATCH($B$3,NORMATIVOS!$C$1:$XFD$1,0))="Proyección")+--(INDEX(NORMATIVOS!$C$53:$XFD$53,1,MATCH($B$3,NORMATIVOS!$C$1:$XFD$1,0))="Proyección")+--(INDEX(NORMATIVOS!$C$54:$XFD$54,1,MATCH($B$3,NORMATIVOS!$C$1:$XFD$1,0))="Proyección")+--(INDEX(NORMATIVOS!$C$55:$XFD$55,1,MATCH($B$3,NORMATIVOS!$C$1:$XFD$1,0))="Proyección")+--(INDEX(NORMATIVOS!$C$56:$XFD$56,1,MATCH($B$3,NORMATIVOS!$C$1:$XFD$1,0))="Proyección")+--(INDEX(NORMATIVOS!$C$57:$XFD$57,1,MATCH($B$3,NORMATIVOS!$C$1:$XFD$1,0))="Proyección")+--(INDEX(NORMATIVOS!$C$58:$XFD$58,1,MATCH($B$3,NORMATIVOS!$C$1:$XFD$1,0))="Proyección")+--(INDEX(NORMATIVOS!$C$59:$XFD$59,1,MATCH($B$3,NORMATIVOS!$C$1:$XFD$1,0))="Proyección")+--(INDEX(NORMATIVOS!$C$60:$XFD$60,1,MATCH($B$3,NORMATIVOS!$C$1:$XFD$1,0))="Proyección")+--(INDEX(NORMATIVOS!$C$61:$XFD$61,1,MATCH($B$3,NORMATIVOS!$C$1:$XFD$1,0))="Proyección")+--(INDEX(NORMATIVOS!$C$62:$XFD$62,1,MATCH($B$3,NORMATIVOS!$C$1:$XFD$1,0))="Proyección")+--(INDEX(NORMATIVOS!$C$63:$XFD$63,1,MATCH($B$3,NORMATIVOS!$C$1:$XFD$1,0))="Proyección")+--(INDEX(NORMATIVOS!$C$64:$XFD$64,1,MATCH($B$3,NORMATIVOS!$C$1:$XFD$1,0))="Proyección")</f>
        <v>0</v>
      </c>
      <c r="H10" s="13">
        <f>IFERROR(E10/COUNTA(NORMATIVOS!$B$49:$B$64),0)</f>
        <v>1.0</v>
      </c>
    </row>
    <row r="11" spans="1:8">
      <c r="A11" s="12" t="s">
        <v>313</v>
      </c>
      <c r="B11" s="13">
        <f>INDEX(CONSOLIDADO!$G$4:$G$1048576,MATCH($B$3,CONSOLIDADO!$A$4:$A$1048576,0))</f>
        <v>0.850187265917603</v>
      </c>
      <c r="D11" t="s">
        <v>99</v>
      </c>
      <c r="E11">
        <f>--(INDEX(NORMATIVOS!$C$65:$XFD$65,1,MATCH($B$3,NORMATIVOS!$C$1:$XFD$1,0))="Consolidado")+--(INDEX(NORMATIVOS!$C$66:$XFD$66,1,MATCH($B$3,NORMATIVOS!$C$1:$XFD$1,0))="Consolidado")+--(INDEX(NORMATIVOS!$C$67:$XFD$67,1,MATCH($B$3,NORMATIVOS!$C$1:$XFD$1,0))="Consolidado")+--(INDEX(NORMATIVOS!$C$68:$XFD$68,1,MATCH($B$3,NORMATIVOS!$C$1:$XFD$1,0))="Consolidado")+--(INDEX(NORMATIVOS!$C$69:$XFD$69,1,MATCH($B$3,NORMATIVOS!$C$1:$XFD$1,0))="Consolidado")+--(INDEX(NORMATIVOS!$C$70:$XFD$70,1,MATCH($B$3,NORMATIVOS!$C$1:$XFD$1,0))="Consolidado")+--(INDEX(NORMATIVOS!$C$71:$XFD$71,1,MATCH($B$3,NORMATIVOS!$C$1:$XFD$1,0))="Consolidado")+--(INDEX(NORMATIVOS!$C$72:$XFD$72,1,MATCH($B$3,NORMATIVOS!$C$1:$XFD$1,0))="Consolidado")+--(INDEX(NORMATIVOS!$C$73:$XFD$73,1,MATCH($B$3,NORMATIVOS!$C$1:$XFD$1,0))="Consolidado")+--(INDEX(NORMATIVOS!$C$74:$XFD$74,1,MATCH($B$3,NORMATIVOS!$C$1:$XFD$1,0))="Consolidado")+--(INDEX(NORMATIVOS!$C$75:$XFD$75,1,MATCH($B$3,NORMATIVOS!$C$1:$XFD$1,0))="Consolidado")+--(INDEX(NORMATIVOS!$C$76:$XFD$76,1,MATCH($B$3,NORMATIVOS!$C$1:$XFD$1,0))="Consolidado")+--(INDEX(NORMATIVOS!$C$77:$XFD$77,1,MATCH($B$3,NORMATIVOS!$C$1:$XFD$1,0))="Consolidado")+--(INDEX(NORMATIVOS!$C$78:$XFD$78,1,MATCH($B$3,NORMATIVOS!$C$1:$XFD$1,0))="Consolidado")</f>
        <v>14</v>
      </c>
      <c r="F11">
        <f>--(INDEX(NORMATIVOS!$C$65:$XFD$65,1,MATCH($B$3,NORMATIVOS!$C$1:$XFD$1,0))="En proceso")+--(INDEX(NORMATIVOS!$C$66:$XFD$66,1,MATCH($B$3,NORMATIVOS!$C$1:$XFD$1,0))="En proceso")+--(INDEX(NORMATIVOS!$C$67:$XFD$67,1,MATCH($B$3,NORMATIVOS!$C$1:$XFD$1,0))="En proceso")+--(INDEX(NORMATIVOS!$C$68:$XFD$68,1,MATCH($B$3,NORMATIVOS!$C$1:$XFD$1,0))="En proceso")+--(INDEX(NORMATIVOS!$C$69:$XFD$69,1,MATCH($B$3,NORMATIVOS!$C$1:$XFD$1,0))="En proceso")+--(INDEX(NORMATIVOS!$C$70:$XFD$70,1,MATCH($B$3,NORMATIVOS!$C$1:$XFD$1,0))="En proceso")+--(INDEX(NORMATIVOS!$C$71:$XFD$71,1,MATCH($B$3,NORMATIVOS!$C$1:$XFD$1,0))="En proceso")+--(INDEX(NORMATIVOS!$C$72:$XFD$72,1,MATCH($B$3,NORMATIVOS!$C$1:$XFD$1,0))="En proceso")+--(INDEX(NORMATIVOS!$C$73:$XFD$73,1,MATCH($B$3,NORMATIVOS!$C$1:$XFD$1,0))="En proceso")+--(INDEX(NORMATIVOS!$C$74:$XFD$74,1,MATCH($B$3,NORMATIVOS!$C$1:$XFD$1,0))="En proceso")+--(INDEX(NORMATIVOS!$C$75:$XFD$75,1,MATCH($B$3,NORMATIVOS!$C$1:$XFD$1,0))="En proceso")+--(INDEX(NORMATIVOS!$C$76:$XFD$76,1,MATCH($B$3,NORMATIVOS!$C$1:$XFD$1,0))="En proceso")+--(INDEX(NORMATIVOS!$C$77:$XFD$77,1,MATCH($B$3,NORMATIVOS!$C$1:$XFD$1,0))="En proceso")+--(INDEX(NORMATIVOS!$C$78:$XFD$78,1,MATCH($B$3,NORMATIVOS!$C$1:$XFD$1,0))="En proceso")</f>
        <v>0</v>
      </c>
      <c r="G11">
        <f>--(INDEX(NORMATIVOS!$C$65:$XFD$65,1,MATCH($B$3,NORMATIVOS!$C$1:$XFD$1,0))="Proyección")+--(INDEX(NORMATIVOS!$C$66:$XFD$66,1,MATCH($B$3,NORMATIVOS!$C$1:$XFD$1,0))="Proyección")+--(INDEX(NORMATIVOS!$C$67:$XFD$67,1,MATCH($B$3,NORMATIVOS!$C$1:$XFD$1,0))="Proyección")+--(INDEX(NORMATIVOS!$C$68:$XFD$68,1,MATCH($B$3,NORMATIVOS!$C$1:$XFD$1,0))="Proyección")+--(INDEX(NORMATIVOS!$C$69:$XFD$69,1,MATCH($B$3,NORMATIVOS!$C$1:$XFD$1,0))="Proyección")+--(INDEX(NORMATIVOS!$C$70:$XFD$70,1,MATCH($B$3,NORMATIVOS!$C$1:$XFD$1,0))="Proyección")+--(INDEX(NORMATIVOS!$C$71:$XFD$71,1,MATCH($B$3,NORMATIVOS!$C$1:$XFD$1,0))="Proyección")+--(INDEX(NORMATIVOS!$C$72:$XFD$72,1,MATCH($B$3,NORMATIVOS!$C$1:$XFD$1,0))="Proyección")+--(INDEX(NORMATIVOS!$C$73:$XFD$73,1,MATCH($B$3,NORMATIVOS!$C$1:$XFD$1,0))="Proyección")+--(INDEX(NORMATIVOS!$C$74:$XFD$74,1,MATCH($B$3,NORMATIVOS!$C$1:$XFD$1,0))="Proyección")+--(INDEX(NORMATIVOS!$C$75:$XFD$75,1,MATCH($B$3,NORMATIVOS!$C$1:$XFD$1,0))="Proyección")+--(INDEX(NORMATIVOS!$C$76:$XFD$76,1,MATCH($B$3,NORMATIVOS!$C$1:$XFD$1,0))="Proyección")+--(INDEX(NORMATIVOS!$C$77:$XFD$77,1,MATCH($B$3,NORMATIVOS!$C$1:$XFD$1,0))="Proyección")+--(INDEX(NORMATIVOS!$C$78:$XFD$78,1,MATCH($B$3,NORMATIVOS!$C$1:$XFD$1,0))="Proyección")</f>
        <v>0</v>
      </c>
      <c r="H11" s="13">
        <f>IFERROR(E11/COUNTA(NORMATIVOS!$B$65:$B$78),0)</f>
        <v>1.0</v>
      </c>
    </row>
    <row r="12" spans="1:8">
      <c r="D12" t="s">
        <v>109</v>
      </c>
      <c r="E12">
        <f>--(INDEX(NORMATIVOS!$C$79:$XFD$79,1,MATCH($B$3,NORMATIVOS!$C$1:$XFD$1,0))="Consolidado")+--(INDEX(NORMATIVOS!$C$80:$XFD$80,1,MATCH($B$3,NORMATIVOS!$C$1:$XFD$1,0))="Consolidado")+--(INDEX(NORMATIVOS!$C$81:$XFD$81,1,MATCH($B$3,NORMATIVOS!$C$1:$XFD$1,0))="Consolidado")+--(INDEX(NORMATIVOS!$C$82:$XFD$82,1,MATCH($B$3,NORMATIVOS!$C$1:$XFD$1,0))="Consolidado")+--(INDEX(NORMATIVOS!$C$83:$XFD$83,1,MATCH($B$3,NORMATIVOS!$C$1:$XFD$1,0))="Consolidado")+--(INDEX(NORMATIVOS!$C$84:$XFD$84,1,MATCH($B$3,NORMATIVOS!$C$1:$XFD$1,0))="Consolidado")+--(INDEX(NORMATIVOS!$C$85:$XFD$85,1,MATCH($B$3,NORMATIVOS!$C$1:$XFD$1,0))="Consolidado")+--(INDEX(NORMATIVOS!$C$86:$XFD$86,1,MATCH($B$3,NORMATIVOS!$C$1:$XFD$1,0))="Consolidado")+--(INDEX(NORMATIVOS!$C$87:$XFD$87,1,MATCH($B$3,NORMATIVOS!$C$1:$XFD$1,0))="Consolidado")+--(INDEX(NORMATIVOS!$C$88:$XFD$88,1,MATCH($B$3,NORMATIVOS!$C$1:$XFD$1,0))="Consolidado")+--(INDEX(NORMATIVOS!$C$89:$XFD$89,1,MATCH($B$3,NORMATIVOS!$C$1:$XFD$1,0))="Consolidado")+--(INDEX(NORMATIVOS!$C$90:$XFD$90,1,MATCH($B$3,NORMATIVOS!$C$1:$XFD$1,0))="Consolidado")+--(INDEX(NORMATIVOS!$C$91:$XFD$91,1,MATCH($B$3,NORMATIVOS!$C$1:$XFD$1,0))="Consolidado")+--(INDEX(NORMATIVOS!$C$92:$XFD$92,1,MATCH($B$3,NORMATIVOS!$C$1:$XFD$1,0))="Consolidado")+--(INDEX(NORMATIVOS!$C$93:$XFD$93,1,MATCH($B$3,NORMATIVOS!$C$1:$XFD$1,0))="Consolidado")+--(INDEX(NORMATIVOS!$C$94:$XFD$94,1,MATCH($B$3,NORMATIVOS!$C$1:$XFD$1,0))="Consolidado")+--(INDEX(NORMATIVOS!$C$95:$XFD$95,1,MATCH($B$3,NORMATIVOS!$C$1:$XFD$1,0))="Consolidado")+--(INDEX(NORMATIVOS!$C$96:$XFD$96,1,MATCH($B$3,NORMATIVOS!$C$1:$XFD$1,0))="Consolidado")+--(INDEX(NORMATIVOS!$C$97:$XFD$97,1,MATCH($B$3,NORMATIVOS!$C$1:$XFD$1,0))="Consolidado")+--(INDEX(NORMATIVOS!$C$98:$XFD$98,1,MATCH($B$3,NORMATIVOS!$C$1:$XFD$1,0))="Consolidado")+--(INDEX(NORMATIVOS!$C$99:$XFD$99,1,MATCH($B$3,NORMATIVOS!$C$1:$XFD$1,0))="Consolidado")+--(INDEX(NORMATIVOS!$C$100:$XFD$100,1,MATCH($B$3,NORMATIVOS!$C$1:$XFD$1,0))="Consolidado")+--(INDEX(NORMATIVOS!$C$101:$XFD$101,1,MATCH($B$3,NORMATIVOS!$C$1:$XFD$1,0))="Consolidado")+--(INDEX(NORMATIVOS!$C$102:$XFD$102,1,MATCH($B$3,NORMATIVOS!$C$1:$XFD$1,0))="Consolidado")+--(INDEX(NORMATIVOS!$C$103:$XFD$103,1,MATCH($B$3,NORMATIVOS!$C$1:$XFD$1,0))="Consolidado")+--(INDEX(NORMATIVOS!$C$104:$XFD$104,1,MATCH($B$3,NORMATIVOS!$C$1:$XFD$1,0))="Consolidado")+--(INDEX(NORMATIVOS!$C$105:$XFD$105,1,MATCH($B$3,NORMATIVOS!$C$1:$XFD$1,0))="Consolidado")</f>
        <v>24</v>
      </c>
      <c r="F12">
        <f>--(INDEX(NORMATIVOS!$C$79:$XFD$79,1,MATCH($B$3,NORMATIVOS!$C$1:$XFD$1,0))="En proceso")+--(INDEX(NORMATIVOS!$C$80:$XFD$80,1,MATCH($B$3,NORMATIVOS!$C$1:$XFD$1,0))="En proceso")+--(INDEX(NORMATIVOS!$C$81:$XFD$81,1,MATCH($B$3,NORMATIVOS!$C$1:$XFD$1,0))="En proceso")+--(INDEX(NORMATIVOS!$C$82:$XFD$82,1,MATCH($B$3,NORMATIVOS!$C$1:$XFD$1,0))="En proceso")+--(INDEX(NORMATIVOS!$C$83:$XFD$83,1,MATCH($B$3,NORMATIVOS!$C$1:$XFD$1,0))="En proceso")+--(INDEX(NORMATIVOS!$C$84:$XFD$84,1,MATCH($B$3,NORMATIVOS!$C$1:$XFD$1,0))="En proceso")+--(INDEX(NORMATIVOS!$C$85:$XFD$85,1,MATCH($B$3,NORMATIVOS!$C$1:$XFD$1,0))="En proceso")+--(INDEX(NORMATIVOS!$C$86:$XFD$86,1,MATCH($B$3,NORMATIVOS!$C$1:$XFD$1,0))="En proceso")+--(INDEX(NORMATIVOS!$C$87:$XFD$87,1,MATCH($B$3,NORMATIVOS!$C$1:$XFD$1,0))="En proceso")+--(INDEX(NORMATIVOS!$C$88:$XFD$88,1,MATCH($B$3,NORMATIVOS!$C$1:$XFD$1,0))="En proceso")+--(INDEX(NORMATIVOS!$C$89:$XFD$89,1,MATCH($B$3,NORMATIVOS!$C$1:$XFD$1,0))="En proceso")+--(INDEX(NORMATIVOS!$C$90:$XFD$90,1,MATCH($B$3,NORMATIVOS!$C$1:$XFD$1,0))="En proceso")+--(INDEX(NORMATIVOS!$C$91:$XFD$91,1,MATCH($B$3,NORMATIVOS!$C$1:$XFD$1,0))="En proceso")+--(INDEX(NORMATIVOS!$C$92:$XFD$92,1,MATCH($B$3,NORMATIVOS!$C$1:$XFD$1,0))="En proceso")+--(INDEX(NORMATIVOS!$C$93:$XFD$93,1,MATCH($B$3,NORMATIVOS!$C$1:$XFD$1,0))="En proceso")+--(INDEX(NORMATIVOS!$C$94:$XFD$94,1,MATCH($B$3,NORMATIVOS!$C$1:$XFD$1,0))="En proceso")+--(INDEX(NORMATIVOS!$C$95:$XFD$95,1,MATCH($B$3,NORMATIVOS!$C$1:$XFD$1,0))="En proceso")+--(INDEX(NORMATIVOS!$C$96:$XFD$96,1,MATCH($B$3,NORMATIVOS!$C$1:$XFD$1,0))="En proceso")+--(INDEX(NORMATIVOS!$C$97:$XFD$97,1,MATCH($B$3,NORMATIVOS!$C$1:$XFD$1,0))="En proceso")+--(INDEX(NORMATIVOS!$C$98:$XFD$98,1,MATCH($B$3,NORMATIVOS!$C$1:$XFD$1,0))="En proceso")+--(INDEX(NORMATIVOS!$C$99:$XFD$99,1,MATCH($B$3,NORMATIVOS!$C$1:$XFD$1,0))="En proceso")+--(INDEX(NORMATIVOS!$C$100:$XFD$100,1,MATCH($B$3,NORMATIVOS!$C$1:$XFD$1,0))="En proceso")+--(INDEX(NORMATIVOS!$C$101:$XFD$101,1,MATCH($B$3,NORMATIVOS!$C$1:$XFD$1,0))="En proceso")+--(INDEX(NORMATIVOS!$C$102:$XFD$102,1,MATCH($B$3,NORMATIVOS!$C$1:$XFD$1,0))="En proceso")+--(INDEX(NORMATIVOS!$C$103:$XFD$103,1,MATCH($B$3,NORMATIVOS!$C$1:$XFD$1,0))="En proceso")+--(INDEX(NORMATIVOS!$C$104:$XFD$104,1,MATCH($B$3,NORMATIVOS!$C$1:$XFD$1,0))="En proceso")+--(INDEX(NORMATIVOS!$C$105:$XFD$105,1,MATCH($B$3,NORMATIVOS!$C$1:$XFD$1,0))="En proceso")</f>
        <v>0</v>
      </c>
      <c r="G12">
        <f>--(INDEX(NORMATIVOS!$C$79:$XFD$79,1,MATCH($B$3,NORMATIVOS!$C$1:$XFD$1,0))="Proyección")+--(INDEX(NORMATIVOS!$C$80:$XFD$80,1,MATCH($B$3,NORMATIVOS!$C$1:$XFD$1,0))="Proyección")+--(INDEX(NORMATIVOS!$C$81:$XFD$81,1,MATCH($B$3,NORMATIVOS!$C$1:$XFD$1,0))="Proyección")+--(INDEX(NORMATIVOS!$C$82:$XFD$82,1,MATCH($B$3,NORMATIVOS!$C$1:$XFD$1,0))="Proyección")+--(INDEX(NORMATIVOS!$C$83:$XFD$83,1,MATCH($B$3,NORMATIVOS!$C$1:$XFD$1,0))="Proyección")+--(INDEX(NORMATIVOS!$C$84:$XFD$84,1,MATCH($B$3,NORMATIVOS!$C$1:$XFD$1,0))="Proyección")+--(INDEX(NORMATIVOS!$C$85:$XFD$85,1,MATCH($B$3,NORMATIVOS!$C$1:$XFD$1,0))="Proyección")+--(INDEX(NORMATIVOS!$C$86:$XFD$86,1,MATCH($B$3,NORMATIVOS!$C$1:$XFD$1,0))="Proyección")+--(INDEX(NORMATIVOS!$C$87:$XFD$87,1,MATCH($B$3,NORMATIVOS!$C$1:$XFD$1,0))="Proyección")+--(INDEX(NORMATIVOS!$C$88:$XFD$88,1,MATCH($B$3,NORMATIVOS!$C$1:$XFD$1,0))="Proyección")+--(INDEX(NORMATIVOS!$C$89:$XFD$89,1,MATCH($B$3,NORMATIVOS!$C$1:$XFD$1,0))="Proyección")+--(INDEX(NORMATIVOS!$C$90:$XFD$90,1,MATCH($B$3,NORMATIVOS!$C$1:$XFD$1,0))="Proyección")+--(INDEX(NORMATIVOS!$C$91:$XFD$91,1,MATCH($B$3,NORMATIVOS!$C$1:$XFD$1,0))="Proyección")+--(INDEX(NORMATIVOS!$C$92:$XFD$92,1,MATCH($B$3,NORMATIVOS!$C$1:$XFD$1,0))="Proyección")+--(INDEX(NORMATIVOS!$C$93:$XFD$93,1,MATCH($B$3,NORMATIVOS!$C$1:$XFD$1,0))="Proyección")+--(INDEX(NORMATIVOS!$C$94:$XFD$94,1,MATCH($B$3,NORMATIVOS!$C$1:$XFD$1,0))="Proyección")+--(INDEX(NORMATIVOS!$C$95:$XFD$95,1,MATCH($B$3,NORMATIVOS!$C$1:$XFD$1,0))="Proyección")+--(INDEX(NORMATIVOS!$C$96:$XFD$96,1,MATCH($B$3,NORMATIVOS!$C$1:$XFD$1,0))="Proyección")+--(INDEX(NORMATIVOS!$C$97:$XFD$97,1,MATCH($B$3,NORMATIVOS!$C$1:$XFD$1,0))="Proyección")+--(INDEX(NORMATIVOS!$C$98:$XFD$98,1,MATCH($B$3,NORMATIVOS!$C$1:$XFD$1,0))="Proyección")+--(INDEX(NORMATIVOS!$C$99:$XFD$99,1,MATCH($B$3,NORMATIVOS!$C$1:$XFD$1,0))="Proyección")+--(INDEX(NORMATIVOS!$C$100:$XFD$100,1,MATCH($B$3,NORMATIVOS!$C$1:$XFD$1,0))="Proyección")+--(INDEX(NORMATIVOS!$C$101:$XFD$101,1,MATCH($B$3,NORMATIVOS!$C$1:$XFD$1,0))="Proyección")+--(INDEX(NORMATIVOS!$C$102:$XFD$102,1,MATCH($B$3,NORMATIVOS!$C$1:$XFD$1,0))="Proyección")+--(INDEX(NORMATIVOS!$C$103:$XFD$103,1,MATCH($B$3,NORMATIVOS!$C$1:$XFD$1,0))="Proyección")+--(INDEX(NORMATIVOS!$C$104:$XFD$104,1,MATCH($B$3,NORMATIVOS!$C$1:$XFD$1,0))="Proyección")+--(INDEX(NORMATIVOS!$C$105:$XFD$105,1,MATCH($B$3,NORMATIVOS!$C$1:$XFD$1,0))="Proyección")</f>
        <v>3</v>
      </c>
      <c r="H12" s="13">
        <f>IFERROR(E12/COUNTA(NORMATIVOS!$B$79:$B$105),0)</f>
        <v>0.8888888888888888</v>
      </c>
    </row>
    <row r="13" spans="1:8">
      <c r="D13" t="s">
        <v>135</v>
      </c>
      <c r="E13">
        <f>--(INDEX(NORMATIVOS!$C$108:$XFD$108,1,MATCH($B$3,NORMATIVOS!$C$1:$XFD$1,0))="Consolidado")+--(INDEX(NORMATIVOS!$C$109:$XFD$109,1,MATCH($B$3,NORMATIVOS!$C$1:$XFD$1,0))="Consolidado")+--(INDEX(NORMATIVOS!$C$110:$XFD$110,1,MATCH($B$3,NORMATIVOS!$C$1:$XFD$1,0))="Consolidado")+--(INDEX(NORMATIVOS!$C$111:$XFD$111,1,MATCH($B$3,NORMATIVOS!$C$1:$XFD$1,0))="Consolidado")+--(INDEX(NORMATIVOS!$C$112:$XFD$112,1,MATCH($B$3,NORMATIVOS!$C$1:$XFD$1,0))="Consolidado")+--(INDEX(NORMATIVOS!$C$113:$XFD$113,1,MATCH($B$3,NORMATIVOS!$C$1:$XFD$1,0))="Consolidado")+--(INDEX(NORMATIVOS!$C$114:$XFD$114,1,MATCH($B$3,NORMATIVOS!$C$1:$XFD$1,0))="Consolidado")+--(INDEX(NORMATIVOS!$C$115:$XFD$115,1,MATCH($B$3,NORMATIVOS!$C$1:$XFD$1,0))="Consolidado")+--(INDEX(NORMATIVOS!$C$116:$XFD$116,1,MATCH($B$3,NORMATIVOS!$C$1:$XFD$1,0))="Consolidado")+--(INDEX(NORMATIVOS!$C$117:$XFD$117,1,MATCH($B$3,NORMATIVOS!$C$1:$XFD$1,0))="Consolidado")+--(INDEX(NORMATIVOS!$C$118:$XFD$118,1,MATCH($B$3,NORMATIVOS!$C$1:$XFD$1,0))="Consolidado")+--(INDEX(NORMATIVOS!$C$119:$XFD$119,1,MATCH($B$3,NORMATIVOS!$C$1:$XFD$1,0))="Consolidado")+--(INDEX(NORMATIVOS!$C$120:$XFD$120,1,MATCH($B$3,NORMATIVOS!$C$1:$XFD$1,0))="Consolidado")+--(INDEX(NORMATIVOS!$C$121:$XFD$121,1,MATCH($B$3,NORMATIVOS!$C$1:$XFD$1,0))="Consolidado")+--(INDEX(NORMATIVOS!$C$122:$XFD$122,1,MATCH($B$3,NORMATIVOS!$C$1:$XFD$1,0))="Consolidado")</f>
        <v>12</v>
      </c>
      <c r="F13">
        <f>--(INDEX(NORMATIVOS!$C$108:$XFD$108,1,MATCH($B$3,NORMATIVOS!$C$1:$XFD$1,0))="En proceso")+--(INDEX(NORMATIVOS!$C$109:$XFD$109,1,MATCH($B$3,NORMATIVOS!$C$1:$XFD$1,0))="En proceso")+--(INDEX(NORMATIVOS!$C$110:$XFD$110,1,MATCH($B$3,NORMATIVOS!$C$1:$XFD$1,0))="En proceso")+--(INDEX(NORMATIVOS!$C$111:$XFD$111,1,MATCH($B$3,NORMATIVOS!$C$1:$XFD$1,0))="En proceso")+--(INDEX(NORMATIVOS!$C$112:$XFD$112,1,MATCH($B$3,NORMATIVOS!$C$1:$XFD$1,0))="En proceso")+--(INDEX(NORMATIVOS!$C$113:$XFD$113,1,MATCH($B$3,NORMATIVOS!$C$1:$XFD$1,0))="En proceso")+--(INDEX(NORMATIVOS!$C$114:$XFD$114,1,MATCH($B$3,NORMATIVOS!$C$1:$XFD$1,0))="En proceso")+--(INDEX(NORMATIVOS!$C$115:$XFD$115,1,MATCH($B$3,NORMATIVOS!$C$1:$XFD$1,0))="En proceso")+--(INDEX(NORMATIVOS!$C$116:$XFD$116,1,MATCH($B$3,NORMATIVOS!$C$1:$XFD$1,0))="En proceso")+--(INDEX(NORMATIVOS!$C$117:$XFD$117,1,MATCH($B$3,NORMATIVOS!$C$1:$XFD$1,0))="En proceso")+--(INDEX(NORMATIVOS!$C$118:$XFD$118,1,MATCH($B$3,NORMATIVOS!$C$1:$XFD$1,0))="En proceso")+--(INDEX(NORMATIVOS!$C$119:$XFD$119,1,MATCH($B$3,NORMATIVOS!$C$1:$XFD$1,0))="En proceso")+--(INDEX(NORMATIVOS!$C$120:$XFD$120,1,MATCH($B$3,NORMATIVOS!$C$1:$XFD$1,0))="En proceso")+--(INDEX(NORMATIVOS!$C$121:$XFD$121,1,MATCH($B$3,NORMATIVOS!$C$1:$XFD$1,0))="En proceso")+--(INDEX(NORMATIVOS!$C$122:$XFD$122,1,MATCH($B$3,NORMATIVOS!$C$1:$XFD$1,0))="En proceso")</f>
        <v>0</v>
      </c>
      <c r="G13">
        <f>--(INDEX(NORMATIVOS!$C$108:$XFD$108,1,MATCH($B$3,NORMATIVOS!$C$1:$XFD$1,0))="Proyección")+--(INDEX(NORMATIVOS!$C$109:$XFD$109,1,MATCH($B$3,NORMATIVOS!$C$1:$XFD$1,0))="Proyección")+--(INDEX(NORMATIVOS!$C$110:$XFD$110,1,MATCH($B$3,NORMATIVOS!$C$1:$XFD$1,0))="Proyección")+--(INDEX(NORMATIVOS!$C$111:$XFD$111,1,MATCH($B$3,NORMATIVOS!$C$1:$XFD$1,0))="Proyección")+--(INDEX(NORMATIVOS!$C$112:$XFD$112,1,MATCH($B$3,NORMATIVOS!$C$1:$XFD$1,0))="Proyección")+--(INDEX(NORMATIVOS!$C$113:$XFD$113,1,MATCH($B$3,NORMATIVOS!$C$1:$XFD$1,0))="Proyección")+--(INDEX(NORMATIVOS!$C$114:$XFD$114,1,MATCH($B$3,NORMATIVOS!$C$1:$XFD$1,0))="Proyección")+--(INDEX(NORMATIVOS!$C$115:$XFD$115,1,MATCH($B$3,NORMATIVOS!$C$1:$XFD$1,0))="Proyección")+--(INDEX(NORMATIVOS!$C$116:$XFD$116,1,MATCH($B$3,NORMATIVOS!$C$1:$XFD$1,0))="Proyección")+--(INDEX(NORMATIVOS!$C$117:$XFD$117,1,MATCH($B$3,NORMATIVOS!$C$1:$XFD$1,0))="Proyección")+--(INDEX(NORMATIVOS!$C$118:$XFD$118,1,MATCH($B$3,NORMATIVOS!$C$1:$XFD$1,0))="Proyección")+--(INDEX(NORMATIVOS!$C$119:$XFD$119,1,MATCH($B$3,NORMATIVOS!$C$1:$XFD$1,0))="Proyección")+--(INDEX(NORMATIVOS!$C$120:$XFD$120,1,MATCH($B$3,NORMATIVOS!$C$1:$XFD$1,0))="Proyección")+--(INDEX(NORMATIVOS!$C$121:$XFD$121,1,MATCH($B$3,NORMATIVOS!$C$1:$XFD$1,0))="Proyección")+--(INDEX(NORMATIVOS!$C$122:$XFD$122,1,MATCH($B$3,NORMATIVOS!$C$1:$XFD$1,0))="Proyección")</f>
        <v>2</v>
      </c>
      <c r="H13" s="13">
        <f>IFERROR(E13/COUNTA(NORMATIVOS!$B$108:$B$122),0)</f>
        <v>0.8</v>
      </c>
    </row>
    <row r="14" spans="1:8">
      <c r="D14" t="s">
        <v>150</v>
      </c>
      <c r="E14">
        <f>--(INDEX(NORMATIVOS!$C$123:$XFD$123,1,MATCH($B$3,NORMATIVOS!$C$1:$XFD$1,0))="Consolidado")+--(INDEX(NORMATIVOS!$C$124:$XFD$124,1,MATCH($B$3,NORMATIVOS!$C$1:$XFD$1,0))="Consolidado")+--(INDEX(NORMATIVOS!$C$125:$XFD$125,1,MATCH($B$3,NORMATIVOS!$C$1:$XFD$1,0))="Consolidado")+--(INDEX(NORMATIVOS!$C$126:$XFD$126,1,MATCH($B$3,NORMATIVOS!$C$1:$XFD$1,0))="Consolidado")+--(INDEX(NORMATIVOS!$C$127:$XFD$127,1,MATCH($B$3,NORMATIVOS!$C$1:$XFD$1,0))="Consolidado")+--(INDEX(NORMATIVOS!$C$128:$XFD$128,1,MATCH($B$3,NORMATIVOS!$C$1:$XFD$1,0))="Consolidado")+--(INDEX(NORMATIVOS!$C$129:$XFD$129,1,MATCH($B$3,NORMATIVOS!$C$1:$XFD$1,0))="Consolidado")+--(INDEX(NORMATIVOS!$C$130:$XFD$130,1,MATCH($B$3,NORMATIVOS!$C$1:$XFD$1,0))="Consolidado")+--(INDEX(NORMATIVOS!$C$131:$XFD$131,1,MATCH($B$3,NORMATIVOS!$C$1:$XFD$1,0))="Consolidado")+--(INDEX(NORMATIVOS!$C$132:$XFD$132,1,MATCH($B$3,NORMATIVOS!$C$1:$XFD$1,0))="Consolidado")+--(INDEX(NORMATIVOS!$C$133:$XFD$133,1,MATCH($B$3,NORMATIVOS!$C$1:$XFD$1,0))="Consolidado")+--(INDEX(NORMATIVOS!$C$134:$XFD$134,1,MATCH($B$3,NORMATIVOS!$C$1:$XFD$1,0))="Consolidado")+--(INDEX(NORMATIVOS!$C$135:$XFD$135,1,MATCH($B$3,NORMATIVOS!$C$1:$XFD$1,0))="Consolidado")+--(INDEX(NORMATIVOS!$C$136:$XFD$136,1,MATCH($B$3,NORMATIVOS!$C$1:$XFD$1,0))="Consolidado")+--(INDEX(NORMATIVOS!$C$137:$XFD$137,1,MATCH($B$3,NORMATIVOS!$C$1:$XFD$1,0))="Consolidado")+--(INDEX(NORMATIVOS!$C$138:$XFD$138,1,MATCH($B$3,NORMATIVOS!$C$1:$XFD$1,0))="Consolidado")+--(INDEX(NORMATIVOS!$C$139:$XFD$139,1,MATCH($B$3,NORMATIVOS!$C$1:$XFD$1,0))="Consolidado")+--(INDEX(NORMATIVOS!$C$140:$XFD$140,1,MATCH($B$3,NORMATIVOS!$C$1:$XFD$1,0))="Consolidado")+--(INDEX(NORMATIVOS!$C$141:$XFD$141,1,MATCH($B$3,NORMATIVOS!$C$1:$XFD$1,0))="Consolidado")+--(INDEX(NORMATIVOS!$C$142:$XFD$142,1,MATCH($B$3,NORMATIVOS!$C$1:$XFD$1,0))="Consolidado")</f>
        <v>18</v>
      </c>
      <c r="F14">
        <f>--(INDEX(NORMATIVOS!$C$123:$XFD$123,1,MATCH($B$3,NORMATIVOS!$C$1:$XFD$1,0))="En proceso")+--(INDEX(NORMATIVOS!$C$124:$XFD$124,1,MATCH($B$3,NORMATIVOS!$C$1:$XFD$1,0))="En proceso")+--(INDEX(NORMATIVOS!$C$125:$XFD$125,1,MATCH($B$3,NORMATIVOS!$C$1:$XFD$1,0))="En proceso")+--(INDEX(NORMATIVOS!$C$126:$XFD$126,1,MATCH($B$3,NORMATIVOS!$C$1:$XFD$1,0))="En proceso")+--(INDEX(NORMATIVOS!$C$127:$XFD$127,1,MATCH($B$3,NORMATIVOS!$C$1:$XFD$1,0))="En proceso")+--(INDEX(NORMATIVOS!$C$128:$XFD$128,1,MATCH($B$3,NORMATIVOS!$C$1:$XFD$1,0))="En proceso")+--(INDEX(NORMATIVOS!$C$129:$XFD$129,1,MATCH($B$3,NORMATIVOS!$C$1:$XFD$1,0))="En proceso")+--(INDEX(NORMATIVOS!$C$130:$XFD$130,1,MATCH($B$3,NORMATIVOS!$C$1:$XFD$1,0))="En proceso")+--(INDEX(NORMATIVOS!$C$131:$XFD$131,1,MATCH($B$3,NORMATIVOS!$C$1:$XFD$1,0))="En proceso")+--(INDEX(NORMATIVOS!$C$132:$XFD$132,1,MATCH($B$3,NORMATIVOS!$C$1:$XFD$1,0))="En proceso")+--(INDEX(NORMATIVOS!$C$133:$XFD$133,1,MATCH($B$3,NORMATIVOS!$C$1:$XFD$1,0))="En proceso")+--(INDEX(NORMATIVOS!$C$134:$XFD$134,1,MATCH($B$3,NORMATIVOS!$C$1:$XFD$1,0))="En proceso")+--(INDEX(NORMATIVOS!$C$135:$XFD$135,1,MATCH($B$3,NORMATIVOS!$C$1:$XFD$1,0))="En proceso")+--(INDEX(NORMATIVOS!$C$136:$XFD$136,1,MATCH($B$3,NORMATIVOS!$C$1:$XFD$1,0))="En proceso")+--(INDEX(NORMATIVOS!$C$137:$XFD$137,1,MATCH($B$3,NORMATIVOS!$C$1:$XFD$1,0))="En proceso")+--(INDEX(NORMATIVOS!$C$138:$XFD$138,1,MATCH($B$3,NORMATIVOS!$C$1:$XFD$1,0))="En proceso")+--(INDEX(NORMATIVOS!$C$139:$XFD$139,1,MATCH($B$3,NORMATIVOS!$C$1:$XFD$1,0))="En proceso")+--(INDEX(NORMATIVOS!$C$140:$XFD$140,1,MATCH($B$3,NORMATIVOS!$C$1:$XFD$1,0))="En proceso")+--(INDEX(NORMATIVOS!$C$141:$XFD$141,1,MATCH($B$3,NORMATIVOS!$C$1:$XFD$1,0))="En proceso")+--(INDEX(NORMATIVOS!$C$142:$XFD$142,1,MATCH($B$3,NORMATIVOS!$C$1:$XFD$1,0))="En proceso")</f>
        <v>0</v>
      </c>
      <c r="G14">
        <f>--(INDEX(NORMATIVOS!$C$123:$XFD$123,1,MATCH($B$3,NORMATIVOS!$C$1:$XFD$1,0))="Proyección")+--(INDEX(NORMATIVOS!$C$124:$XFD$124,1,MATCH($B$3,NORMATIVOS!$C$1:$XFD$1,0))="Proyección")+--(INDEX(NORMATIVOS!$C$125:$XFD$125,1,MATCH($B$3,NORMATIVOS!$C$1:$XFD$1,0))="Proyección")+--(INDEX(NORMATIVOS!$C$126:$XFD$126,1,MATCH($B$3,NORMATIVOS!$C$1:$XFD$1,0))="Proyección")+--(INDEX(NORMATIVOS!$C$127:$XFD$127,1,MATCH($B$3,NORMATIVOS!$C$1:$XFD$1,0))="Proyección")+--(INDEX(NORMATIVOS!$C$128:$XFD$128,1,MATCH($B$3,NORMATIVOS!$C$1:$XFD$1,0))="Proyección")+--(INDEX(NORMATIVOS!$C$129:$XFD$129,1,MATCH($B$3,NORMATIVOS!$C$1:$XFD$1,0))="Proyección")+--(INDEX(NORMATIVOS!$C$130:$XFD$130,1,MATCH($B$3,NORMATIVOS!$C$1:$XFD$1,0))="Proyección")+--(INDEX(NORMATIVOS!$C$131:$XFD$131,1,MATCH($B$3,NORMATIVOS!$C$1:$XFD$1,0))="Proyección")+--(INDEX(NORMATIVOS!$C$132:$XFD$132,1,MATCH($B$3,NORMATIVOS!$C$1:$XFD$1,0))="Proyección")+--(INDEX(NORMATIVOS!$C$133:$XFD$133,1,MATCH($B$3,NORMATIVOS!$C$1:$XFD$1,0))="Proyección")+--(INDEX(NORMATIVOS!$C$134:$XFD$134,1,MATCH($B$3,NORMATIVOS!$C$1:$XFD$1,0))="Proyección")+--(INDEX(NORMATIVOS!$C$135:$XFD$135,1,MATCH($B$3,NORMATIVOS!$C$1:$XFD$1,0))="Proyección")+--(INDEX(NORMATIVOS!$C$136:$XFD$136,1,MATCH($B$3,NORMATIVOS!$C$1:$XFD$1,0))="Proyección")+--(INDEX(NORMATIVOS!$C$137:$XFD$137,1,MATCH($B$3,NORMATIVOS!$C$1:$XFD$1,0))="Proyección")+--(INDEX(NORMATIVOS!$C$138:$XFD$138,1,MATCH($B$3,NORMATIVOS!$C$1:$XFD$1,0))="Proyección")+--(INDEX(NORMATIVOS!$C$139:$XFD$139,1,MATCH($B$3,NORMATIVOS!$C$1:$XFD$1,0))="Proyección")+--(INDEX(NORMATIVOS!$C$140:$XFD$140,1,MATCH($B$3,NORMATIVOS!$C$1:$XFD$1,0))="Proyección")+--(INDEX(NORMATIVOS!$C$141:$XFD$141,1,MATCH($B$3,NORMATIVOS!$C$1:$XFD$1,0))="Proyección")+--(INDEX(NORMATIVOS!$C$142:$XFD$142,1,MATCH($B$3,NORMATIVOS!$C$1:$XFD$1,0))="Proyección")</f>
        <v>0</v>
      </c>
      <c r="H14" s="13">
        <f>IFERROR(E14/COUNTA(NORMATIVOS!$B$123:$B$142),0)</f>
        <v>0.9</v>
      </c>
    </row>
    <row r="15" spans="1:8">
      <c r="D15" t="s">
        <v>172</v>
      </c>
      <c r="E15">
        <f>--(INDEX(NORMATIVOS!$C$145:$XFD$145,1,MATCH($B$3,NORMATIVOS!$C$1:$XFD$1,0))="Consolidado")+--(INDEX(NORMATIVOS!$C$146:$XFD$146,1,MATCH($B$3,NORMATIVOS!$C$1:$XFD$1,0))="Consolidado")+--(INDEX(NORMATIVOS!$C$147:$XFD$147,1,MATCH($B$3,NORMATIVOS!$C$1:$XFD$1,0))="Consolidado")+--(INDEX(NORMATIVOS!$C$148:$XFD$148,1,MATCH($B$3,NORMATIVOS!$C$1:$XFD$1,0))="Consolidado")+--(INDEX(NORMATIVOS!$C$149:$XFD$149,1,MATCH($B$3,NORMATIVOS!$C$1:$XFD$1,0))="Consolidado")+--(INDEX(NORMATIVOS!$C$150:$XFD$150,1,MATCH($B$3,NORMATIVOS!$C$1:$XFD$1,0))="Consolidado")+--(INDEX(NORMATIVOS!$C$151:$XFD$151,1,MATCH($B$3,NORMATIVOS!$C$1:$XFD$1,0))="Consolidado")</f>
        <v>7</v>
      </c>
      <c r="F15">
        <f>--(INDEX(NORMATIVOS!$C$145:$XFD$145,1,MATCH($B$3,NORMATIVOS!$C$1:$XFD$1,0))="En proceso")+--(INDEX(NORMATIVOS!$C$146:$XFD$146,1,MATCH($B$3,NORMATIVOS!$C$1:$XFD$1,0))="En proceso")+--(INDEX(NORMATIVOS!$C$147:$XFD$147,1,MATCH($B$3,NORMATIVOS!$C$1:$XFD$1,0))="En proceso")+--(INDEX(NORMATIVOS!$C$148:$XFD$148,1,MATCH($B$3,NORMATIVOS!$C$1:$XFD$1,0))="En proceso")+--(INDEX(NORMATIVOS!$C$149:$XFD$149,1,MATCH($B$3,NORMATIVOS!$C$1:$XFD$1,0))="En proceso")+--(INDEX(NORMATIVOS!$C$150:$XFD$150,1,MATCH($B$3,NORMATIVOS!$C$1:$XFD$1,0))="En proceso")+--(INDEX(NORMATIVOS!$C$151:$XFD$151,1,MATCH($B$3,NORMATIVOS!$C$1:$XFD$1,0))="En proceso")</f>
        <v>0</v>
      </c>
      <c r="G15">
        <f>--(INDEX(NORMATIVOS!$C$145:$XFD$145,1,MATCH($B$3,NORMATIVOS!$C$1:$XFD$1,0))="Proyección")+--(INDEX(NORMATIVOS!$C$146:$XFD$146,1,MATCH($B$3,NORMATIVOS!$C$1:$XFD$1,0))="Proyección")+--(INDEX(NORMATIVOS!$C$147:$XFD$147,1,MATCH($B$3,NORMATIVOS!$C$1:$XFD$1,0))="Proyección")+--(INDEX(NORMATIVOS!$C$148:$XFD$148,1,MATCH($B$3,NORMATIVOS!$C$1:$XFD$1,0))="Proyección")+--(INDEX(NORMATIVOS!$C$149:$XFD$149,1,MATCH($B$3,NORMATIVOS!$C$1:$XFD$1,0))="Proyección")+--(INDEX(NORMATIVOS!$C$150:$XFD$150,1,MATCH($B$3,NORMATIVOS!$C$1:$XFD$1,0))="Proyección")+--(INDEX(NORMATIVOS!$C$151:$XFD$151,1,MATCH($B$3,NORMATIVOS!$C$1:$XFD$1,0))="Proyección")</f>
        <v>0</v>
      </c>
      <c r="H15" s="13">
        <f>IFERROR(E15/COUNTA(NORMATIVOS!$B$145:$B$151),0)</f>
        <v>1.0</v>
      </c>
    </row>
    <row r="16" spans="1:8">
      <c r="D16" t="s">
        <v>180</v>
      </c>
      <c r="E16">
        <f>--(INDEX(NORMATIVOS!$C$152:$XFD$152,1,MATCH($B$3,NORMATIVOS!$C$1:$XFD$1,0))="Consolidado")+--(INDEX(NORMATIVOS!$C$153:$XFD$153,1,MATCH($B$3,NORMATIVOS!$C$1:$XFD$1,0))="Consolidado")+--(INDEX(NORMATIVOS!$C$154:$XFD$154,1,MATCH($B$3,NORMATIVOS!$C$1:$XFD$1,0))="Consolidado")+--(INDEX(NORMATIVOS!$C$155:$XFD$155,1,MATCH($B$3,NORMATIVOS!$C$1:$XFD$1,0))="Consolidado")+--(INDEX(NORMATIVOS!$C$156:$XFD$156,1,MATCH($B$3,NORMATIVOS!$C$1:$XFD$1,0))="Consolidado")+--(INDEX(NORMATIVOS!$C$157:$XFD$157,1,MATCH($B$3,NORMATIVOS!$C$1:$XFD$1,0))="Consolidado")+--(INDEX(NORMATIVOS!$C$158:$XFD$158,1,MATCH($B$3,NORMATIVOS!$C$1:$XFD$1,0))="Consolidado")+--(INDEX(NORMATIVOS!$C$159:$XFD$159,1,MATCH($B$3,NORMATIVOS!$C$1:$XFD$1,0))="Consolidado")+--(INDEX(NORMATIVOS!$C$160:$XFD$160,1,MATCH($B$3,NORMATIVOS!$C$1:$XFD$1,0))="Consolidado")+--(INDEX(NORMATIVOS!$C$161:$XFD$161,1,MATCH($B$3,NORMATIVOS!$C$1:$XFD$1,0))="Consolidado")+--(INDEX(NORMATIVOS!$C$162:$XFD$162,1,MATCH($B$3,NORMATIVOS!$C$1:$XFD$1,0))="Consolidado")+--(INDEX(NORMATIVOS!$C$163:$XFD$163,1,MATCH($B$3,NORMATIVOS!$C$1:$XFD$1,0))="Consolidado")+--(INDEX(NORMATIVOS!$C$164:$XFD$164,1,MATCH($B$3,NORMATIVOS!$C$1:$XFD$1,0))="Consolidado")+--(INDEX(NORMATIVOS!$C$165:$XFD$165,1,MATCH($B$3,NORMATIVOS!$C$1:$XFD$1,0))="Consolidado")+--(INDEX(NORMATIVOS!$C$166:$XFD$166,1,MATCH($B$3,NORMATIVOS!$C$1:$XFD$1,0))="Consolidado")+--(INDEX(NORMATIVOS!$C$167:$XFD$167,1,MATCH($B$3,NORMATIVOS!$C$1:$XFD$1,0))="Consolidado")+--(INDEX(NORMATIVOS!$C$168:$XFD$168,1,MATCH($B$3,NORMATIVOS!$C$1:$XFD$1,0))="Consolidado")+--(INDEX(NORMATIVOS!$C$169:$XFD$169,1,MATCH($B$3,NORMATIVOS!$C$1:$XFD$1,0))="Consolidado")+--(INDEX(NORMATIVOS!$C$170:$XFD$170,1,MATCH($B$3,NORMATIVOS!$C$1:$XFD$1,0))="Consolidado")+--(INDEX(NORMATIVOS!$C$171:$XFD$171,1,MATCH($B$3,NORMATIVOS!$C$1:$XFD$1,0))="Consolidado")+--(INDEX(NORMATIVOS!$C$172:$XFD$172,1,MATCH($B$3,NORMATIVOS!$C$1:$XFD$1,0))="Consolidado")+--(INDEX(NORMATIVOS!$C$173:$XFD$173,1,MATCH($B$3,NORMATIVOS!$C$1:$XFD$1,0))="Consolidado")</f>
        <v>14</v>
      </c>
      <c r="F16">
        <f>--(INDEX(NORMATIVOS!$C$152:$XFD$152,1,MATCH($B$3,NORMATIVOS!$C$1:$XFD$1,0))="En proceso")+--(INDEX(NORMATIVOS!$C$153:$XFD$153,1,MATCH($B$3,NORMATIVOS!$C$1:$XFD$1,0))="En proceso")+--(INDEX(NORMATIVOS!$C$154:$XFD$154,1,MATCH($B$3,NORMATIVOS!$C$1:$XFD$1,0))="En proceso")+--(INDEX(NORMATIVOS!$C$155:$XFD$155,1,MATCH($B$3,NORMATIVOS!$C$1:$XFD$1,0))="En proceso")+--(INDEX(NORMATIVOS!$C$156:$XFD$156,1,MATCH($B$3,NORMATIVOS!$C$1:$XFD$1,0))="En proceso")+--(INDEX(NORMATIVOS!$C$157:$XFD$157,1,MATCH($B$3,NORMATIVOS!$C$1:$XFD$1,0))="En proceso")+--(INDEX(NORMATIVOS!$C$158:$XFD$158,1,MATCH($B$3,NORMATIVOS!$C$1:$XFD$1,0))="En proceso")+--(INDEX(NORMATIVOS!$C$159:$XFD$159,1,MATCH($B$3,NORMATIVOS!$C$1:$XFD$1,0))="En proceso")+--(INDEX(NORMATIVOS!$C$160:$XFD$160,1,MATCH($B$3,NORMATIVOS!$C$1:$XFD$1,0))="En proceso")+--(INDEX(NORMATIVOS!$C$161:$XFD$161,1,MATCH($B$3,NORMATIVOS!$C$1:$XFD$1,0))="En proceso")+--(INDEX(NORMATIVOS!$C$162:$XFD$162,1,MATCH($B$3,NORMATIVOS!$C$1:$XFD$1,0))="En proceso")+--(INDEX(NORMATIVOS!$C$163:$XFD$163,1,MATCH($B$3,NORMATIVOS!$C$1:$XFD$1,0))="En proceso")+--(INDEX(NORMATIVOS!$C$164:$XFD$164,1,MATCH($B$3,NORMATIVOS!$C$1:$XFD$1,0))="En proceso")+--(INDEX(NORMATIVOS!$C$165:$XFD$165,1,MATCH($B$3,NORMATIVOS!$C$1:$XFD$1,0))="En proceso")+--(INDEX(NORMATIVOS!$C$166:$XFD$166,1,MATCH($B$3,NORMATIVOS!$C$1:$XFD$1,0))="En proceso")+--(INDEX(NORMATIVOS!$C$167:$XFD$167,1,MATCH($B$3,NORMATIVOS!$C$1:$XFD$1,0))="En proceso")+--(INDEX(NORMATIVOS!$C$168:$XFD$168,1,MATCH($B$3,NORMATIVOS!$C$1:$XFD$1,0))="En proceso")+--(INDEX(NORMATIVOS!$C$169:$XFD$169,1,MATCH($B$3,NORMATIVOS!$C$1:$XFD$1,0))="En proceso")+--(INDEX(NORMATIVOS!$C$170:$XFD$170,1,MATCH($B$3,NORMATIVOS!$C$1:$XFD$1,0))="En proceso")+--(INDEX(NORMATIVOS!$C$171:$XFD$171,1,MATCH($B$3,NORMATIVOS!$C$1:$XFD$1,0))="En proceso")+--(INDEX(NORMATIVOS!$C$172:$XFD$172,1,MATCH($B$3,NORMATIVOS!$C$1:$XFD$1,0))="En proceso")+--(INDEX(NORMATIVOS!$C$173:$XFD$173,1,MATCH($B$3,NORMATIVOS!$C$1:$XFD$1,0))="En proceso")</f>
        <v>1</v>
      </c>
      <c r="G16">
        <f>--(INDEX(NORMATIVOS!$C$152:$XFD$152,1,MATCH($B$3,NORMATIVOS!$C$1:$XFD$1,0))="Proyección")+--(INDEX(NORMATIVOS!$C$153:$XFD$153,1,MATCH($B$3,NORMATIVOS!$C$1:$XFD$1,0))="Proyección")+--(INDEX(NORMATIVOS!$C$154:$XFD$154,1,MATCH($B$3,NORMATIVOS!$C$1:$XFD$1,0))="Proyección")+--(INDEX(NORMATIVOS!$C$155:$XFD$155,1,MATCH($B$3,NORMATIVOS!$C$1:$XFD$1,0))="Proyección")+--(INDEX(NORMATIVOS!$C$156:$XFD$156,1,MATCH($B$3,NORMATIVOS!$C$1:$XFD$1,0))="Proyección")+--(INDEX(NORMATIVOS!$C$157:$XFD$157,1,MATCH($B$3,NORMATIVOS!$C$1:$XFD$1,0))="Proyección")+--(INDEX(NORMATIVOS!$C$158:$XFD$158,1,MATCH($B$3,NORMATIVOS!$C$1:$XFD$1,0))="Proyección")+--(INDEX(NORMATIVOS!$C$159:$XFD$159,1,MATCH($B$3,NORMATIVOS!$C$1:$XFD$1,0))="Proyección")+--(INDEX(NORMATIVOS!$C$160:$XFD$160,1,MATCH($B$3,NORMATIVOS!$C$1:$XFD$1,0))="Proyección")+--(INDEX(NORMATIVOS!$C$161:$XFD$161,1,MATCH($B$3,NORMATIVOS!$C$1:$XFD$1,0))="Proyección")+--(INDEX(NORMATIVOS!$C$162:$XFD$162,1,MATCH($B$3,NORMATIVOS!$C$1:$XFD$1,0))="Proyección")+--(INDEX(NORMATIVOS!$C$163:$XFD$163,1,MATCH($B$3,NORMATIVOS!$C$1:$XFD$1,0))="Proyección")+--(INDEX(NORMATIVOS!$C$164:$XFD$164,1,MATCH($B$3,NORMATIVOS!$C$1:$XFD$1,0))="Proyección")+--(INDEX(NORMATIVOS!$C$165:$XFD$165,1,MATCH($B$3,NORMATIVOS!$C$1:$XFD$1,0))="Proyección")+--(INDEX(NORMATIVOS!$C$166:$XFD$166,1,MATCH($B$3,NORMATIVOS!$C$1:$XFD$1,0))="Proyección")+--(INDEX(NORMATIVOS!$C$167:$XFD$167,1,MATCH($B$3,NORMATIVOS!$C$1:$XFD$1,0))="Proyección")+--(INDEX(NORMATIVOS!$C$168:$XFD$168,1,MATCH($B$3,NORMATIVOS!$C$1:$XFD$1,0))="Proyección")+--(INDEX(NORMATIVOS!$C$169:$XFD$169,1,MATCH($B$3,NORMATIVOS!$C$1:$XFD$1,0))="Proyección")+--(INDEX(NORMATIVOS!$C$170:$XFD$170,1,MATCH($B$3,NORMATIVOS!$C$1:$XFD$1,0))="Proyección")+--(INDEX(NORMATIVOS!$C$171:$XFD$171,1,MATCH($B$3,NORMATIVOS!$C$1:$XFD$1,0))="Proyección")+--(INDEX(NORMATIVOS!$C$172:$XFD$172,1,MATCH($B$3,NORMATIVOS!$C$1:$XFD$1,0))="Proyección")+--(INDEX(NORMATIVOS!$C$173:$XFD$173,1,MATCH($B$3,NORMATIVOS!$C$1:$XFD$1,0))="Proyección")</f>
        <v>6</v>
      </c>
      <c r="H16" s="13">
        <f>IFERROR(E16/COUNTA(NORMATIVOS!$B$152:$B$173),0)</f>
        <v>0.6363636363636364</v>
      </c>
    </row>
    <row r="17" spans="1:8">
      <c r="D17" t="s">
        <v>308</v>
      </c>
      <c r="E17">
        <f>--(INDEX(NORMATIVOS!$C$176:$XFD$176,1,MATCH($B$3,NORMATIVOS!$C$1:$XFD$1,0))="Consolidado")+--(INDEX(NORMATIVOS!$C$177:$XFD$177,1,MATCH($B$3,NORMATIVOS!$C$1:$XFD$1,0))="Consolidado")+--(INDEX(NORMATIVOS!$C$178:$XFD$178,1,MATCH($B$3,NORMATIVOS!$C$1:$XFD$1,0))="Consolidado")+--(INDEX(NORMATIVOS!$C$179:$XFD$179,1,MATCH($B$3,NORMATIVOS!$C$1:$XFD$1,0))="Consolidado")+--(INDEX(NORMATIVOS!$C$180:$XFD$180,1,MATCH($B$3,NORMATIVOS!$C$1:$XFD$1,0))="Consolidado")+--(INDEX(NORMATIVOS!$C$181:$XFD$181,1,MATCH($B$3,NORMATIVOS!$C$1:$XFD$1,0))="Consolidado")+--(INDEX(NORMATIVOS!$C$182:$XFD$182,1,MATCH($B$3,NORMATIVOS!$C$1:$XFD$1,0))="Consolidado")+--(INDEX(NORMATIVOS!$C$183:$XFD$183,1,MATCH($B$3,NORMATIVOS!$C$1:$XFD$1,0))="Consolidado")+--(INDEX(NORMATIVOS!$C$184:$XFD$184,1,MATCH($B$3,NORMATIVOS!$C$1:$XFD$1,0))="Consolidado")+--(INDEX(NORMATIVOS!$C$185:$XFD$185,1,MATCH($B$3,NORMATIVOS!$C$1:$XFD$1,0))="Consolidado")+--(INDEX(NORMATIVOS!$C$186:$XFD$186,1,MATCH($B$3,NORMATIVOS!$C$1:$XFD$1,0))="Consolidado")+--(INDEX(NORMATIVOS!$C$187:$XFD$187,1,MATCH($B$3,NORMATIVOS!$C$1:$XFD$1,0))="Consolidado")+--(INDEX(NORMATIVOS!$C$188:$XFD$188,1,MATCH($B$3,NORMATIVOS!$C$1:$XFD$1,0))="Consolidado")+--(INDEX(NORMATIVOS!$C$189:$XFD$189,1,MATCH($B$3,NORMATIVOS!$C$1:$XFD$1,0))="Consolidado")+--(INDEX(NORMATIVOS!$C$190:$XFD$190,1,MATCH($B$3,NORMATIVOS!$C$1:$XFD$1,0))="Consolidado")+--(INDEX(NORMATIVOS!$C$191:$XFD$191,1,MATCH($B$3,NORMATIVOS!$C$1:$XFD$1,0))="Consolidado")+--(INDEX(NORMATIVOS!$C$192:$XFD$192,1,MATCH($B$3,NORMATIVOS!$C$1:$XFD$1,0))="Consolidado")+--(INDEX(NORMATIVOS!$C$193:$XFD$193,1,MATCH($B$3,NORMATIVOS!$C$1:$XFD$1,0))="Consolidado")</f>
        <v>17</v>
      </c>
      <c r="F17">
        <f>--(INDEX(NORMATIVOS!$C$176:$XFD$176,1,MATCH($B$3,NORMATIVOS!$C$1:$XFD$1,0))="En proceso")+--(INDEX(NORMATIVOS!$C$177:$XFD$177,1,MATCH($B$3,NORMATIVOS!$C$1:$XFD$1,0))="En proceso")+--(INDEX(NORMATIVOS!$C$178:$XFD$178,1,MATCH($B$3,NORMATIVOS!$C$1:$XFD$1,0))="En proceso")+--(INDEX(NORMATIVOS!$C$179:$XFD$179,1,MATCH($B$3,NORMATIVOS!$C$1:$XFD$1,0))="En proceso")+--(INDEX(NORMATIVOS!$C$180:$XFD$180,1,MATCH($B$3,NORMATIVOS!$C$1:$XFD$1,0))="En proceso")+--(INDEX(NORMATIVOS!$C$181:$XFD$181,1,MATCH($B$3,NORMATIVOS!$C$1:$XFD$1,0))="En proceso")+--(INDEX(NORMATIVOS!$C$182:$XFD$182,1,MATCH($B$3,NORMATIVOS!$C$1:$XFD$1,0))="En proceso")+--(INDEX(NORMATIVOS!$C$183:$XFD$183,1,MATCH($B$3,NORMATIVOS!$C$1:$XFD$1,0))="En proceso")+--(INDEX(NORMATIVOS!$C$184:$XFD$184,1,MATCH($B$3,NORMATIVOS!$C$1:$XFD$1,0))="En proceso")+--(INDEX(NORMATIVOS!$C$185:$XFD$185,1,MATCH($B$3,NORMATIVOS!$C$1:$XFD$1,0))="En proceso")+--(INDEX(NORMATIVOS!$C$186:$XFD$186,1,MATCH($B$3,NORMATIVOS!$C$1:$XFD$1,0))="En proceso")+--(INDEX(NORMATIVOS!$C$187:$XFD$187,1,MATCH($B$3,NORMATIVOS!$C$1:$XFD$1,0))="En proceso")+--(INDEX(NORMATIVOS!$C$188:$XFD$188,1,MATCH($B$3,NORMATIVOS!$C$1:$XFD$1,0))="En proceso")+--(INDEX(NORMATIVOS!$C$189:$XFD$189,1,MATCH($B$3,NORMATIVOS!$C$1:$XFD$1,0))="En proceso")+--(INDEX(NORMATIVOS!$C$190:$XFD$190,1,MATCH($B$3,NORMATIVOS!$C$1:$XFD$1,0))="En proceso")+--(INDEX(NORMATIVOS!$C$191:$XFD$191,1,MATCH($B$3,NORMATIVOS!$C$1:$XFD$1,0))="En proceso")+--(INDEX(NORMATIVOS!$C$192:$XFD$192,1,MATCH($B$3,NORMATIVOS!$C$1:$XFD$1,0))="En proceso")+--(INDEX(NORMATIVOS!$C$193:$XFD$193,1,MATCH($B$3,NORMATIVOS!$C$1:$XFD$1,0))="En proceso")</f>
        <v>1</v>
      </c>
      <c r="G17">
        <f>--(INDEX(NORMATIVOS!$C$176:$XFD$176,1,MATCH($B$3,NORMATIVOS!$C$1:$XFD$1,0))="Proyección")+--(INDEX(NORMATIVOS!$C$177:$XFD$177,1,MATCH($B$3,NORMATIVOS!$C$1:$XFD$1,0))="Proyección")+--(INDEX(NORMATIVOS!$C$178:$XFD$178,1,MATCH($B$3,NORMATIVOS!$C$1:$XFD$1,0))="Proyección")+--(INDEX(NORMATIVOS!$C$179:$XFD$179,1,MATCH($B$3,NORMATIVOS!$C$1:$XFD$1,0))="Proyección")+--(INDEX(NORMATIVOS!$C$180:$XFD$180,1,MATCH($B$3,NORMATIVOS!$C$1:$XFD$1,0))="Proyección")+--(INDEX(NORMATIVOS!$C$181:$XFD$181,1,MATCH($B$3,NORMATIVOS!$C$1:$XFD$1,0))="Proyección")+--(INDEX(NORMATIVOS!$C$182:$XFD$182,1,MATCH($B$3,NORMATIVOS!$C$1:$XFD$1,0))="Proyección")+--(INDEX(NORMATIVOS!$C$183:$XFD$183,1,MATCH($B$3,NORMATIVOS!$C$1:$XFD$1,0))="Proyección")+--(INDEX(NORMATIVOS!$C$184:$XFD$184,1,MATCH($B$3,NORMATIVOS!$C$1:$XFD$1,0))="Proyección")+--(INDEX(NORMATIVOS!$C$185:$XFD$185,1,MATCH($B$3,NORMATIVOS!$C$1:$XFD$1,0))="Proyección")+--(INDEX(NORMATIVOS!$C$186:$XFD$186,1,MATCH($B$3,NORMATIVOS!$C$1:$XFD$1,0))="Proyección")+--(INDEX(NORMATIVOS!$C$187:$XFD$187,1,MATCH($B$3,NORMATIVOS!$C$1:$XFD$1,0))="Proyección")+--(INDEX(NORMATIVOS!$C$188:$XFD$188,1,MATCH($B$3,NORMATIVOS!$C$1:$XFD$1,0))="Proyección")+--(INDEX(NORMATIVOS!$C$189:$XFD$189,1,MATCH($B$3,NORMATIVOS!$C$1:$XFD$1,0))="Proyección")+--(INDEX(NORMATIVOS!$C$190:$XFD$190,1,MATCH($B$3,NORMATIVOS!$C$1:$XFD$1,0))="Proyección")+--(INDEX(NORMATIVOS!$C$191:$XFD$191,1,MATCH($B$3,NORMATIVOS!$C$1:$XFD$1,0))="Proyección")+--(INDEX(NORMATIVOS!$C$192:$XFD$192,1,MATCH($B$3,NORMATIVOS!$C$1:$XFD$1,0))="Proyección")+--(INDEX(NORMATIVOS!$C$193:$XFD$193,1,MATCH($B$3,NORMATIVOS!$C$1:$XFD$1,0))="Proyección")</f>
        <v>0</v>
      </c>
      <c r="H17" s="13">
        <f>IFERROR(E17/COUNTA(NORMATIVOS!$B$176:$B$193),0)</f>
        <v>0.9444444444444444</v>
      </c>
    </row>
    <row r="18" spans="1:8">
      <c r="D18" t="s">
        <v>220</v>
      </c>
      <c r="E18">
        <f>--(INDEX(NORMATIVOS!$C$194:$XFD$194,1,MATCH($B$3,NORMATIVOS!$C$1:$XFD$1,0))="Consolidado")+--(INDEX(NORMATIVOS!$C$195:$XFD$195,1,MATCH($B$3,NORMATIVOS!$C$1:$XFD$1,0))="Consolidado")+--(INDEX(NORMATIVOS!$C$196:$XFD$196,1,MATCH($B$3,NORMATIVOS!$C$1:$XFD$1,0))="Consolidado")+--(INDEX(NORMATIVOS!$C$197:$XFD$197,1,MATCH($B$3,NORMATIVOS!$C$1:$XFD$1,0))="Consolidado")+--(INDEX(NORMATIVOS!$C$198:$XFD$198,1,MATCH($B$3,NORMATIVOS!$C$1:$XFD$1,0))="Consolidado")+--(INDEX(NORMATIVOS!$C$199:$XFD$199,1,MATCH($B$3,NORMATIVOS!$C$1:$XFD$1,0))="Consolidado")+--(INDEX(NORMATIVOS!$C$200:$XFD$200,1,MATCH($B$3,NORMATIVOS!$C$1:$XFD$1,0))="Consolidado")+--(INDEX(NORMATIVOS!$C$201:$XFD$201,1,MATCH($B$3,NORMATIVOS!$C$1:$XFD$1,0))="Consolidado")+--(INDEX(NORMATIVOS!$C$202:$XFD$202,1,MATCH($B$3,NORMATIVOS!$C$1:$XFD$1,0))="Consolidado")+--(INDEX(NORMATIVOS!$C$203:$XFD$203,1,MATCH($B$3,NORMATIVOS!$C$1:$XFD$1,0))="Consolidado")+--(INDEX(NORMATIVOS!$C$204:$XFD$204,1,MATCH($B$3,NORMATIVOS!$C$1:$XFD$1,0))="Consolidado")+--(INDEX(NORMATIVOS!$C$205:$XFD$205,1,MATCH($B$3,NORMATIVOS!$C$1:$XFD$1,0))="Consolidado")+--(INDEX(NORMATIVOS!$C$206:$XFD$206,1,MATCH($B$3,NORMATIVOS!$C$1:$XFD$1,0))="Consolidado")+--(INDEX(NORMATIVOS!$C$207:$XFD$207,1,MATCH($B$3,NORMATIVOS!$C$1:$XFD$1,0))="Consolidado")+--(INDEX(NORMATIVOS!$C$208:$XFD$208,1,MATCH($B$3,NORMATIVOS!$C$1:$XFD$1,0))="Consolidado")+--(INDEX(NORMATIVOS!$C$209:$XFD$209,1,MATCH($B$3,NORMATIVOS!$C$1:$XFD$1,0))="Consolidado")+--(INDEX(NORMATIVOS!$C$210:$XFD$210,1,MATCH($B$3,NORMATIVOS!$C$1:$XFD$1,0))="Consolidado")+--(INDEX(NORMATIVOS!$C$211:$XFD$211,1,MATCH($B$3,NORMATIVOS!$C$1:$XFD$1,0))="Consolidado")+--(INDEX(NORMATIVOS!$C$212:$XFD$212,1,MATCH($B$3,NORMATIVOS!$C$1:$XFD$1,0))="Consolidado")+--(INDEX(NORMATIVOS!$C$213:$XFD$213,1,MATCH($B$3,NORMATIVOS!$C$1:$XFD$1,0))="Consolidado")+--(INDEX(NORMATIVOS!$C$214:$XFD$214,1,MATCH($B$3,NORMATIVOS!$C$1:$XFD$1,0))="Consolidado")+--(INDEX(NORMATIVOS!$C$215:$XFD$215,1,MATCH($B$3,NORMATIVOS!$C$1:$XFD$1,0))="Consolidado")+--(INDEX(NORMATIVOS!$C$216:$XFD$216,1,MATCH($B$3,NORMATIVOS!$C$1:$XFD$1,0))="Consolidado")+--(INDEX(NORMATIVOS!$C$217:$XFD$217,1,MATCH($B$3,NORMATIVOS!$C$1:$XFD$1,0))="Consolidado")+--(INDEX(NORMATIVOS!$C$218:$XFD$218,1,MATCH($B$3,NORMATIVOS!$C$1:$XFD$1,0))="Consolidado")</f>
        <v>19</v>
      </c>
      <c r="F18">
        <f>--(INDEX(NORMATIVOS!$C$194:$XFD$194,1,MATCH($B$3,NORMATIVOS!$C$1:$XFD$1,0))="En proceso")+--(INDEX(NORMATIVOS!$C$195:$XFD$195,1,MATCH($B$3,NORMATIVOS!$C$1:$XFD$1,0))="En proceso")+--(INDEX(NORMATIVOS!$C$196:$XFD$196,1,MATCH($B$3,NORMATIVOS!$C$1:$XFD$1,0))="En proceso")+--(INDEX(NORMATIVOS!$C$197:$XFD$197,1,MATCH($B$3,NORMATIVOS!$C$1:$XFD$1,0))="En proceso")+--(INDEX(NORMATIVOS!$C$198:$XFD$198,1,MATCH($B$3,NORMATIVOS!$C$1:$XFD$1,0))="En proceso")+--(INDEX(NORMATIVOS!$C$199:$XFD$199,1,MATCH($B$3,NORMATIVOS!$C$1:$XFD$1,0))="En proceso")+--(INDEX(NORMATIVOS!$C$200:$XFD$200,1,MATCH($B$3,NORMATIVOS!$C$1:$XFD$1,0))="En proceso")+--(INDEX(NORMATIVOS!$C$201:$XFD$201,1,MATCH($B$3,NORMATIVOS!$C$1:$XFD$1,0))="En proceso")+--(INDEX(NORMATIVOS!$C$202:$XFD$202,1,MATCH($B$3,NORMATIVOS!$C$1:$XFD$1,0))="En proceso")+--(INDEX(NORMATIVOS!$C$203:$XFD$203,1,MATCH($B$3,NORMATIVOS!$C$1:$XFD$1,0))="En proceso")+--(INDEX(NORMATIVOS!$C$204:$XFD$204,1,MATCH($B$3,NORMATIVOS!$C$1:$XFD$1,0))="En proceso")+--(INDEX(NORMATIVOS!$C$205:$XFD$205,1,MATCH($B$3,NORMATIVOS!$C$1:$XFD$1,0))="En proceso")+--(INDEX(NORMATIVOS!$C$206:$XFD$206,1,MATCH($B$3,NORMATIVOS!$C$1:$XFD$1,0))="En proceso")+--(INDEX(NORMATIVOS!$C$207:$XFD$207,1,MATCH($B$3,NORMATIVOS!$C$1:$XFD$1,0))="En proceso")+--(INDEX(NORMATIVOS!$C$208:$XFD$208,1,MATCH($B$3,NORMATIVOS!$C$1:$XFD$1,0))="En proceso")+--(INDEX(NORMATIVOS!$C$209:$XFD$209,1,MATCH($B$3,NORMATIVOS!$C$1:$XFD$1,0))="En proceso")+--(INDEX(NORMATIVOS!$C$210:$XFD$210,1,MATCH($B$3,NORMATIVOS!$C$1:$XFD$1,0))="En proceso")+--(INDEX(NORMATIVOS!$C$211:$XFD$211,1,MATCH($B$3,NORMATIVOS!$C$1:$XFD$1,0))="En proceso")+--(INDEX(NORMATIVOS!$C$212:$XFD$212,1,MATCH($B$3,NORMATIVOS!$C$1:$XFD$1,0))="En proceso")+--(INDEX(NORMATIVOS!$C$213:$XFD$213,1,MATCH($B$3,NORMATIVOS!$C$1:$XFD$1,0))="En proceso")+--(INDEX(NORMATIVOS!$C$214:$XFD$214,1,MATCH($B$3,NORMATIVOS!$C$1:$XFD$1,0))="En proceso")+--(INDEX(NORMATIVOS!$C$215:$XFD$215,1,MATCH($B$3,NORMATIVOS!$C$1:$XFD$1,0))="En proceso")+--(INDEX(NORMATIVOS!$C$216:$XFD$216,1,MATCH($B$3,NORMATIVOS!$C$1:$XFD$1,0))="En proceso")+--(INDEX(NORMATIVOS!$C$217:$XFD$217,1,MATCH($B$3,NORMATIVOS!$C$1:$XFD$1,0))="En proceso")+--(INDEX(NORMATIVOS!$C$218:$XFD$218,1,MATCH($B$3,NORMATIVOS!$C$1:$XFD$1,0))="En proceso")</f>
        <v>3</v>
      </c>
      <c r="G18">
        <f>--(INDEX(NORMATIVOS!$C$194:$XFD$194,1,MATCH($B$3,NORMATIVOS!$C$1:$XFD$1,0))="Proyección")+--(INDEX(NORMATIVOS!$C$195:$XFD$195,1,MATCH($B$3,NORMATIVOS!$C$1:$XFD$1,0))="Proyección")+--(INDEX(NORMATIVOS!$C$196:$XFD$196,1,MATCH($B$3,NORMATIVOS!$C$1:$XFD$1,0))="Proyección")+--(INDEX(NORMATIVOS!$C$197:$XFD$197,1,MATCH($B$3,NORMATIVOS!$C$1:$XFD$1,0))="Proyección")+--(INDEX(NORMATIVOS!$C$198:$XFD$198,1,MATCH($B$3,NORMATIVOS!$C$1:$XFD$1,0))="Proyección")+--(INDEX(NORMATIVOS!$C$199:$XFD$199,1,MATCH($B$3,NORMATIVOS!$C$1:$XFD$1,0))="Proyección")+--(INDEX(NORMATIVOS!$C$200:$XFD$200,1,MATCH($B$3,NORMATIVOS!$C$1:$XFD$1,0))="Proyección")+--(INDEX(NORMATIVOS!$C$201:$XFD$201,1,MATCH($B$3,NORMATIVOS!$C$1:$XFD$1,0))="Proyección")+--(INDEX(NORMATIVOS!$C$202:$XFD$202,1,MATCH($B$3,NORMATIVOS!$C$1:$XFD$1,0))="Proyección")+--(INDEX(NORMATIVOS!$C$203:$XFD$203,1,MATCH($B$3,NORMATIVOS!$C$1:$XFD$1,0))="Proyección")+--(INDEX(NORMATIVOS!$C$204:$XFD$204,1,MATCH($B$3,NORMATIVOS!$C$1:$XFD$1,0))="Proyección")+--(INDEX(NORMATIVOS!$C$205:$XFD$205,1,MATCH($B$3,NORMATIVOS!$C$1:$XFD$1,0))="Proyección")+--(INDEX(NORMATIVOS!$C$206:$XFD$206,1,MATCH($B$3,NORMATIVOS!$C$1:$XFD$1,0))="Proyección")+--(INDEX(NORMATIVOS!$C$207:$XFD$207,1,MATCH($B$3,NORMATIVOS!$C$1:$XFD$1,0))="Proyección")+--(INDEX(NORMATIVOS!$C$208:$XFD$208,1,MATCH($B$3,NORMATIVOS!$C$1:$XFD$1,0))="Proyección")+--(INDEX(NORMATIVOS!$C$209:$XFD$209,1,MATCH($B$3,NORMATIVOS!$C$1:$XFD$1,0))="Proyección")+--(INDEX(NORMATIVOS!$C$210:$XFD$210,1,MATCH($B$3,NORMATIVOS!$C$1:$XFD$1,0))="Proyección")+--(INDEX(NORMATIVOS!$C$211:$XFD$211,1,MATCH($B$3,NORMATIVOS!$C$1:$XFD$1,0))="Proyección")+--(INDEX(NORMATIVOS!$C$212:$XFD$212,1,MATCH($B$3,NORMATIVOS!$C$1:$XFD$1,0))="Proyección")+--(INDEX(NORMATIVOS!$C$213:$XFD$213,1,MATCH($B$3,NORMATIVOS!$C$1:$XFD$1,0))="Proyección")+--(INDEX(NORMATIVOS!$C$214:$XFD$214,1,MATCH($B$3,NORMATIVOS!$C$1:$XFD$1,0))="Proyección")+--(INDEX(NORMATIVOS!$C$215:$XFD$215,1,MATCH($B$3,NORMATIVOS!$C$1:$XFD$1,0))="Proyección")+--(INDEX(NORMATIVOS!$C$216:$XFD$216,1,MATCH($B$3,NORMATIVOS!$C$1:$XFD$1,0))="Proyección")+--(INDEX(NORMATIVOS!$C$217:$XFD$217,1,MATCH($B$3,NORMATIVOS!$C$1:$XFD$1,0))="Proyección")+--(INDEX(NORMATIVOS!$C$218:$XFD$218,1,MATCH($B$3,NORMATIVOS!$C$1:$XFD$1,0))="Proyección")</f>
        <v>2</v>
      </c>
      <c r="H18" s="13">
        <f>IFERROR(E18/COUNTA(NORMATIVOS!$B$194:$B$218),0)</f>
        <v>0.76</v>
      </c>
    </row>
    <row r="19" spans="1:8">
      <c r="D19" t="s">
        <v>242</v>
      </c>
      <c r="E19">
        <f>--(INDEX(NORMATIVOS!$C$219:$XFD$219,1,MATCH($B$3,NORMATIVOS!$C$1:$XFD$1,0))="Consolidado")+--(INDEX(NORMATIVOS!$C$220:$XFD$220,1,MATCH($B$3,NORMATIVOS!$C$1:$XFD$1,0))="Consolidado")+--(INDEX(NORMATIVOS!$C$221:$XFD$221,1,MATCH($B$3,NORMATIVOS!$C$1:$XFD$1,0))="Consolidado")+--(INDEX(NORMATIVOS!$C$222:$XFD$222,1,MATCH($B$3,NORMATIVOS!$C$1:$XFD$1,0))="Consolidado")+--(INDEX(NORMATIVOS!$C$223:$XFD$223,1,MATCH($B$3,NORMATIVOS!$C$1:$XFD$1,0))="Consolidado")+--(INDEX(NORMATIVOS!$C$224:$XFD$224,1,MATCH($B$3,NORMATIVOS!$C$1:$XFD$1,0))="Consolidado")+--(INDEX(NORMATIVOS!$C$225:$XFD$225,1,MATCH($B$3,NORMATIVOS!$C$1:$XFD$1,0))="Consolidado")+--(INDEX(NORMATIVOS!$C$226:$XFD$226,1,MATCH($B$3,NORMATIVOS!$C$1:$XFD$1,0))="Consolidado")+--(INDEX(NORMATIVOS!$C$227:$XFD$227,1,MATCH($B$3,NORMATIVOS!$C$1:$XFD$1,0))="Consolidado")+--(INDEX(NORMATIVOS!$C$228:$XFD$228,1,MATCH($B$3,NORMATIVOS!$C$1:$XFD$1,0))="Consolidado")+--(INDEX(NORMATIVOS!$C$229:$XFD$229,1,MATCH($B$3,NORMATIVOS!$C$1:$XFD$1,0))="Consolidado")+--(INDEX(NORMATIVOS!$C$230:$XFD$230,1,MATCH($B$3,NORMATIVOS!$C$1:$XFD$1,0))="Consolidado")+--(INDEX(NORMATIVOS!$C$231:$XFD$231,1,MATCH($B$3,NORMATIVOS!$C$1:$XFD$1,0))="Consolidado")</f>
        <v>7</v>
      </c>
      <c r="F19">
        <f>--(INDEX(NORMATIVOS!$C$219:$XFD$219,1,MATCH($B$3,NORMATIVOS!$C$1:$XFD$1,0))="En proceso")+--(INDEX(NORMATIVOS!$C$220:$XFD$220,1,MATCH($B$3,NORMATIVOS!$C$1:$XFD$1,0))="En proceso")+--(INDEX(NORMATIVOS!$C$221:$XFD$221,1,MATCH($B$3,NORMATIVOS!$C$1:$XFD$1,0))="En proceso")+--(INDEX(NORMATIVOS!$C$222:$XFD$222,1,MATCH($B$3,NORMATIVOS!$C$1:$XFD$1,0))="En proceso")+--(INDEX(NORMATIVOS!$C$223:$XFD$223,1,MATCH($B$3,NORMATIVOS!$C$1:$XFD$1,0))="En proceso")+--(INDEX(NORMATIVOS!$C$224:$XFD$224,1,MATCH($B$3,NORMATIVOS!$C$1:$XFD$1,0))="En proceso")+--(INDEX(NORMATIVOS!$C$225:$XFD$225,1,MATCH($B$3,NORMATIVOS!$C$1:$XFD$1,0))="En proceso")+--(INDEX(NORMATIVOS!$C$226:$XFD$226,1,MATCH($B$3,NORMATIVOS!$C$1:$XFD$1,0))="En proceso")+--(INDEX(NORMATIVOS!$C$227:$XFD$227,1,MATCH($B$3,NORMATIVOS!$C$1:$XFD$1,0))="En proceso")+--(INDEX(NORMATIVOS!$C$228:$XFD$228,1,MATCH($B$3,NORMATIVOS!$C$1:$XFD$1,0))="En proceso")+--(INDEX(NORMATIVOS!$C$229:$XFD$229,1,MATCH($B$3,NORMATIVOS!$C$1:$XFD$1,0))="En proceso")+--(INDEX(NORMATIVOS!$C$230:$XFD$230,1,MATCH($B$3,NORMATIVOS!$C$1:$XFD$1,0))="En proceso")+--(INDEX(NORMATIVOS!$C$231:$XFD$231,1,MATCH($B$3,NORMATIVOS!$C$1:$XFD$1,0))="En proceso")</f>
        <v>1</v>
      </c>
      <c r="G19">
        <f>--(INDEX(NORMATIVOS!$C$219:$XFD$219,1,MATCH($B$3,NORMATIVOS!$C$1:$XFD$1,0))="Proyección")+--(INDEX(NORMATIVOS!$C$220:$XFD$220,1,MATCH($B$3,NORMATIVOS!$C$1:$XFD$1,0))="Proyección")+--(INDEX(NORMATIVOS!$C$221:$XFD$221,1,MATCH($B$3,NORMATIVOS!$C$1:$XFD$1,0))="Proyección")+--(INDEX(NORMATIVOS!$C$222:$XFD$222,1,MATCH($B$3,NORMATIVOS!$C$1:$XFD$1,0))="Proyección")+--(INDEX(NORMATIVOS!$C$223:$XFD$223,1,MATCH($B$3,NORMATIVOS!$C$1:$XFD$1,0))="Proyección")+--(INDEX(NORMATIVOS!$C$224:$XFD$224,1,MATCH($B$3,NORMATIVOS!$C$1:$XFD$1,0))="Proyección")+--(INDEX(NORMATIVOS!$C$225:$XFD$225,1,MATCH($B$3,NORMATIVOS!$C$1:$XFD$1,0))="Proyección")+--(INDEX(NORMATIVOS!$C$226:$XFD$226,1,MATCH($B$3,NORMATIVOS!$C$1:$XFD$1,0))="Proyección")+--(INDEX(NORMATIVOS!$C$227:$XFD$227,1,MATCH($B$3,NORMATIVOS!$C$1:$XFD$1,0))="Proyección")+--(INDEX(NORMATIVOS!$C$228:$XFD$228,1,MATCH($B$3,NORMATIVOS!$C$1:$XFD$1,0))="Proyección")+--(INDEX(NORMATIVOS!$C$229:$XFD$229,1,MATCH($B$3,NORMATIVOS!$C$1:$XFD$1,0))="Proyección")+--(INDEX(NORMATIVOS!$C$230:$XFD$230,1,MATCH($B$3,NORMATIVOS!$C$1:$XFD$1,0))="Proyección")+--(INDEX(NORMATIVOS!$C$231:$XFD$231,1,MATCH($B$3,NORMATIVOS!$C$1:$XFD$1,0))="Proyección")</f>
        <v>3</v>
      </c>
      <c r="H19" s="13">
        <f>IFERROR(E19/COUNTA(NORMATIVOS!$B$219:$B$231),0)</f>
        <v>0.5384615384615384</v>
      </c>
    </row>
    <row r="20" spans="1:8">
      <c r="D20" t="s">
        <v>253</v>
      </c>
      <c r="E20">
        <f>--(INDEX(NORMATIVOS!$C$234:$XFD$234,1,MATCH($B$3,NORMATIVOS!$C$1:$XFD$1,0))="Consolidado")+--(INDEX(NORMATIVOS!$C$235:$XFD$235,1,MATCH($B$3,NORMATIVOS!$C$1:$XFD$1,0))="Consolidado")+--(INDEX(NORMATIVOS!$C$236:$XFD$236,1,MATCH($B$3,NORMATIVOS!$C$1:$XFD$1,0))="Consolidado")+--(INDEX(NORMATIVOS!$C$237:$XFD$237,1,MATCH($B$3,NORMATIVOS!$C$1:$XFD$1,0))="Consolidado")+--(INDEX(NORMATIVOS!$C$238:$XFD$238,1,MATCH($B$3,NORMATIVOS!$C$1:$XFD$1,0))="Consolidado")+--(INDEX(NORMATIVOS!$C$239:$XFD$239,1,MATCH($B$3,NORMATIVOS!$C$1:$XFD$1,0))="Consolidado")+--(INDEX(NORMATIVOS!$C$240:$XFD$240,1,MATCH($B$3,NORMATIVOS!$C$1:$XFD$1,0))="Consolidado")+--(INDEX(NORMATIVOS!$C$241:$XFD$241,1,MATCH($B$3,NORMATIVOS!$C$1:$XFD$1,0))="Consolidado")+--(INDEX(NORMATIVOS!$C$242:$XFD$242,1,MATCH($B$3,NORMATIVOS!$C$1:$XFD$1,0))="Consolidado")+--(INDEX(NORMATIVOS!$C$243:$XFD$243,1,MATCH($B$3,NORMATIVOS!$C$1:$XFD$1,0))="Consolidado")+--(INDEX(NORMATIVOS!$C$244:$XFD$244,1,MATCH($B$3,NORMATIVOS!$C$1:$XFD$1,0))="Consolidado")+--(INDEX(NORMATIVOS!$C$245:$XFD$245,1,MATCH($B$3,NORMATIVOS!$C$1:$XFD$1,0))="Consolidado")+--(INDEX(NORMATIVOS!$C$246:$XFD$246,1,MATCH($B$3,NORMATIVOS!$C$1:$XFD$1,0))="Consolidado")+--(INDEX(NORMATIVOS!$C$247:$XFD$247,1,MATCH($B$3,NORMATIVOS!$C$1:$XFD$1,0))="Consolidado")+--(INDEX(NORMATIVOS!$C$248:$XFD$248,1,MATCH($B$3,NORMATIVOS!$C$1:$XFD$1,0))="Consolidado")+--(INDEX(NORMATIVOS!$C$249:$XFD$249,1,MATCH($B$3,NORMATIVOS!$C$1:$XFD$1,0))="Consolidado")+--(INDEX(NORMATIVOS!$C$250:$XFD$250,1,MATCH($B$3,NORMATIVOS!$C$1:$XFD$1,0))="Consolidado")+--(INDEX(NORMATIVOS!$C$251:$XFD$251,1,MATCH($B$3,NORMATIVOS!$C$1:$XFD$1,0))="Consolidado")+--(INDEX(NORMATIVOS!$C$252:$XFD$252,1,MATCH($B$3,NORMATIVOS!$C$1:$XFD$1,0))="Consolidado")+--(INDEX(NORMATIVOS!$C$253:$XFD$253,1,MATCH($B$3,NORMATIVOS!$C$1:$XFD$1,0))="Consolidado")+--(INDEX(NORMATIVOS!$C$254:$XFD$254,1,MATCH($B$3,NORMATIVOS!$C$1:$XFD$1,0))="Consolidado")+--(INDEX(NORMATIVOS!$C$255:$XFD$255,1,MATCH($B$3,NORMATIVOS!$C$1:$XFD$1,0))="Consolidado")+--(INDEX(NORMATIVOS!$C$256:$XFD$256,1,MATCH($B$3,NORMATIVOS!$C$1:$XFD$1,0))="Consolidado")+--(INDEX(NORMATIVOS!$C$257:$XFD$257,1,MATCH($B$3,NORMATIVOS!$C$1:$XFD$1,0))="Consolidado")+--(INDEX(NORMATIVOS!$C$258:$XFD$258,1,MATCH($B$3,NORMATIVOS!$C$1:$XFD$1,0))="Consolidado")+--(INDEX(NORMATIVOS!$C$259:$XFD$259,1,MATCH($B$3,NORMATIVOS!$C$1:$XFD$1,0))="Consolidado")+--(INDEX(NORMATIVOS!$C$260:$XFD$260,1,MATCH($B$3,NORMATIVOS!$C$1:$XFD$1,0))="Consolidado")+--(INDEX(NORMATIVOS!$C$261:$XFD$261,1,MATCH($B$3,NORMATIVOS!$C$1:$XFD$1,0))="Consolidado")</f>
        <v>20</v>
      </c>
      <c r="F20">
        <f>--(INDEX(NORMATIVOS!$C$234:$XFD$234,1,MATCH($B$3,NORMATIVOS!$C$1:$XFD$1,0))="En proceso")+--(INDEX(NORMATIVOS!$C$235:$XFD$235,1,MATCH($B$3,NORMATIVOS!$C$1:$XFD$1,0))="En proceso")+--(INDEX(NORMATIVOS!$C$236:$XFD$236,1,MATCH($B$3,NORMATIVOS!$C$1:$XFD$1,0))="En proceso")+--(INDEX(NORMATIVOS!$C$237:$XFD$237,1,MATCH($B$3,NORMATIVOS!$C$1:$XFD$1,0))="En proceso")+--(INDEX(NORMATIVOS!$C$238:$XFD$238,1,MATCH($B$3,NORMATIVOS!$C$1:$XFD$1,0))="En proceso")+--(INDEX(NORMATIVOS!$C$239:$XFD$239,1,MATCH($B$3,NORMATIVOS!$C$1:$XFD$1,0))="En proceso")+--(INDEX(NORMATIVOS!$C$240:$XFD$240,1,MATCH($B$3,NORMATIVOS!$C$1:$XFD$1,0))="En proceso")+--(INDEX(NORMATIVOS!$C$241:$XFD$241,1,MATCH($B$3,NORMATIVOS!$C$1:$XFD$1,0))="En proceso")+--(INDEX(NORMATIVOS!$C$242:$XFD$242,1,MATCH($B$3,NORMATIVOS!$C$1:$XFD$1,0))="En proceso")+--(INDEX(NORMATIVOS!$C$243:$XFD$243,1,MATCH($B$3,NORMATIVOS!$C$1:$XFD$1,0))="En proceso")+--(INDEX(NORMATIVOS!$C$244:$XFD$244,1,MATCH($B$3,NORMATIVOS!$C$1:$XFD$1,0))="En proceso")+--(INDEX(NORMATIVOS!$C$245:$XFD$245,1,MATCH($B$3,NORMATIVOS!$C$1:$XFD$1,0))="En proceso")+--(INDEX(NORMATIVOS!$C$246:$XFD$246,1,MATCH($B$3,NORMATIVOS!$C$1:$XFD$1,0))="En proceso")+--(INDEX(NORMATIVOS!$C$247:$XFD$247,1,MATCH($B$3,NORMATIVOS!$C$1:$XFD$1,0))="En proceso")+--(INDEX(NORMATIVOS!$C$248:$XFD$248,1,MATCH($B$3,NORMATIVOS!$C$1:$XFD$1,0))="En proceso")+--(INDEX(NORMATIVOS!$C$249:$XFD$249,1,MATCH($B$3,NORMATIVOS!$C$1:$XFD$1,0))="En proceso")+--(INDEX(NORMATIVOS!$C$250:$XFD$250,1,MATCH($B$3,NORMATIVOS!$C$1:$XFD$1,0))="En proceso")+--(INDEX(NORMATIVOS!$C$251:$XFD$251,1,MATCH($B$3,NORMATIVOS!$C$1:$XFD$1,0))="En proceso")+--(INDEX(NORMATIVOS!$C$252:$XFD$252,1,MATCH($B$3,NORMATIVOS!$C$1:$XFD$1,0))="En proceso")+--(INDEX(NORMATIVOS!$C$253:$XFD$253,1,MATCH($B$3,NORMATIVOS!$C$1:$XFD$1,0))="En proceso")+--(INDEX(NORMATIVOS!$C$254:$XFD$254,1,MATCH($B$3,NORMATIVOS!$C$1:$XFD$1,0))="En proceso")+--(INDEX(NORMATIVOS!$C$255:$XFD$255,1,MATCH($B$3,NORMATIVOS!$C$1:$XFD$1,0))="En proceso")+--(INDEX(NORMATIVOS!$C$256:$XFD$256,1,MATCH($B$3,NORMATIVOS!$C$1:$XFD$1,0))="En proceso")+--(INDEX(NORMATIVOS!$C$257:$XFD$257,1,MATCH($B$3,NORMATIVOS!$C$1:$XFD$1,0))="En proceso")+--(INDEX(NORMATIVOS!$C$258:$XFD$258,1,MATCH($B$3,NORMATIVOS!$C$1:$XFD$1,0))="En proceso")+--(INDEX(NORMATIVOS!$C$259:$XFD$259,1,MATCH($B$3,NORMATIVOS!$C$1:$XFD$1,0))="En proceso")+--(INDEX(NORMATIVOS!$C$260:$XFD$260,1,MATCH($B$3,NORMATIVOS!$C$1:$XFD$1,0))="En proceso")+--(INDEX(NORMATIVOS!$C$261:$XFD$261,1,MATCH($B$3,NORMATIVOS!$C$1:$XFD$1,0))="En proceso")</f>
        <v>1</v>
      </c>
      <c r="G20">
        <f>--(INDEX(NORMATIVOS!$C$234:$XFD$234,1,MATCH($B$3,NORMATIVOS!$C$1:$XFD$1,0))="Proyección")+--(INDEX(NORMATIVOS!$C$235:$XFD$235,1,MATCH($B$3,NORMATIVOS!$C$1:$XFD$1,0))="Proyección")+--(INDEX(NORMATIVOS!$C$236:$XFD$236,1,MATCH($B$3,NORMATIVOS!$C$1:$XFD$1,0))="Proyección")+--(INDEX(NORMATIVOS!$C$237:$XFD$237,1,MATCH($B$3,NORMATIVOS!$C$1:$XFD$1,0))="Proyección")+--(INDEX(NORMATIVOS!$C$238:$XFD$238,1,MATCH($B$3,NORMATIVOS!$C$1:$XFD$1,0))="Proyección")+--(INDEX(NORMATIVOS!$C$239:$XFD$239,1,MATCH($B$3,NORMATIVOS!$C$1:$XFD$1,0))="Proyección")+--(INDEX(NORMATIVOS!$C$240:$XFD$240,1,MATCH($B$3,NORMATIVOS!$C$1:$XFD$1,0))="Proyección")+--(INDEX(NORMATIVOS!$C$241:$XFD$241,1,MATCH($B$3,NORMATIVOS!$C$1:$XFD$1,0))="Proyección")+--(INDEX(NORMATIVOS!$C$242:$XFD$242,1,MATCH($B$3,NORMATIVOS!$C$1:$XFD$1,0))="Proyección")+--(INDEX(NORMATIVOS!$C$243:$XFD$243,1,MATCH($B$3,NORMATIVOS!$C$1:$XFD$1,0))="Proyección")+--(INDEX(NORMATIVOS!$C$244:$XFD$244,1,MATCH($B$3,NORMATIVOS!$C$1:$XFD$1,0))="Proyección")+--(INDEX(NORMATIVOS!$C$245:$XFD$245,1,MATCH($B$3,NORMATIVOS!$C$1:$XFD$1,0))="Proyección")+--(INDEX(NORMATIVOS!$C$246:$XFD$246,1,MATCH($B$3,NORMATIVOS!$C$1:$XFD$1,0))="Proyección")+--(INDEX(NORMATIVOS!$C$247:$XFD$247,1,MATCH($B$3,NORMATIVOS!$C$1:$XFD$1,0))="Proyección")+--(INDEX(NORMATIVOS!$C$248:$XFD$248,1,MATCH($B$3,NORMATIVOS!$C$1:$XFD$1,0))="Proyección")+--(INDEX(NORMATIVOS!$C$249:$XFD$249,1,MATCH($B$3,NORMATIVOS!$C$1:$XFD$1,0))="Proyección")+--(INDEX(NORMATIVOS!$C$250:$XFD$250,1,MATCH($B$3,NORMATIVOS!$C$1:$XFD$1,0))="Proyección")+--(INDEX(NORMATIVOS!$C$251:$XFD$251,1,MATCH($B$3,NORMATIVOS!$C$1:$XFD$1,0))="Proyección")+--(INDEX(NORMATIVOS!$C$252:$XFD$252,1,MATCH($B$3,NORMATIVOS!$C$1:$XFD$1,0))="Proyección")+--(INDEX(NORMATIVOS!$C$253:$XFD$253,1,MATCH($B$3,NORMATIVOS!$C$1:$XFD$1,0))="Proyección")+--(INDEX(NORMATIVOS!$C$254:$XFD$254,1,MATCH($B$3,NORMATIVOS!$C$1:$XFD$1,0))="Proyección")+--(INDEX(NORMATIVOS!$C$255:$XFD$255,1,MATCH($B$3,NORMATIVOS!$C$1:$XFD$1,0))="Proyección")+--(INDEX(NORMATIVOS!$C$256:$XFD$256,1,MATCH($B$3,NORMATIVOS!$C$1:$XFD$1,0))="Proyección")+--(INDEX(NORMATIVOS!$C$257:$XFD$257,1,MATCH($B$3,NORMATIVOS!$C$1:$XFD$1,0))="Proyección")+--(INDEX(NORMATIVOS!$C$258:$XFD$258,1,MATCH($B$3,NORMATIVOS!$C$1:$XFD$1,0))="Proyección")+--(INDEX(NORMATIVOS!$C$259:$XFD$259,1,MATCH($B$3,NORMATIVOS!$C$1:$XFD$1,0))="Proyección")+--(INDEX(NORMATIVOS!$C$260:$XFD$260,1,MATCH($B$3,NORMATIVOS!$C$1:$XFD$1,0))="Proyección")+--(INDEX(NORMATIVOS!$C$261:$XFD$261,1,MATCH($B$3,NORMATIVOS!$C$1:$XFD$1,0))="Proyección")</f>
        <v>5</v>
      </c>
      <c r="H20" s="13">
        <f>IFERROR(E20/COUNTA(NORMATIVOS!$B$234:$B$261),0)</f>
        <v>0.7142857142857143</v>
      </c>
    </row>
    <row r="21" spans="1:8">
      <c r="D21" t="s">
        <v>278</v>
      </c>
      <c r="E21">
        <f>--(INDEX(NORMATIVOS!$C$262:$XFD$262,1,MATCH($B$3,NORMATIVOS!$C$1:$XFD$1,0))="Consolidado")+--(INDEX(NORMATIVOS!$C$263:$XFD$263,1,MATCH($B$3,NORMATIVOS!$C$1:$XFD$1,0))="Consolidado")+--(INDEX(NORMATIVOS!$C$264:$XFD$264,1,MATCH($B$3,NORMATIVOS!$C$1:$XFD$1,0))="Consolidado")+--(INDEX(NORMATIVOS!$C$265:$XFD$265,1,MATCH($B$3,NORMATIVOS!$C$1:$XFD$1,0))="Consolidado")+--(INDEX(NORMATIVOS!$C$266:$XFD$266,1,MATCH($B$3,NORMATIVOS!$C$1:$XFD$1,0))="Consolidado")+--(INDEX(NORMATIVOS!$C$267:$XFD$267,1,MATCH($B$3,NORMATIVOS!$C$1:$XFD$1,0))="Consolidado")+--(INDEX(NORMATIVOS!$C$268:$XFD$268,1,MATCH($B$3,NORMATIVOS!$C$1:$XFD$1,0))="Consolidado")+--(INDEX(NORMATIVOS!$C$269:$XFD$269,1,MATCH($B$3,NORMATIVOS!$C$1:$XFD$1,0))="Consolidado")+--(INDEX(NORMATIVOS!$C$270:$XFD$270,1,MATCH($B$3,NORMATIVOS!$C$1:$XFD$1,0))="Consolidado")+--(INDEX(NORMATIVOS!$C$271:$XFD$271,1,MATCH($B$3,NORMATIVOS!$C$1:$XFD$1,0))="Consolidado")+--(INDEX(NORMATIVOS!$C$272:$XFD$272,1,MATCH($B$3,NORMATIVOS!$C$1:$XFD$1,0))="Consolidado")+--(INDEX(NORMATIVOS!$C$273:$XFD$273,1,MATCH($B$3,NORMATIVOS!$C$1:$XFD$1,0))="Consolidado")+--(INDEX(NORMATIVOS!$C$274:$XFD$274,1,MATCH($B$3,NORMATIVOS!$C$1:$XFD$1,0))="Consolidado")+--(INDEX(NORMATIVOS!$C$275:$XFD$275,1,MATCH($B$3,NORMATIVOS!$C$1:$XFD$1,0))="Consolidado")+--(INDEX(NORMATIVOS!$C$276:$XFD$276,1,MATCH($B$3,NORMATIVOS!$C$1:$XFD$1,0))="Consolidado")+--(INDEX(NORMATIVOS!$C$277:$XFD$277,1,MATCH($B$3,NORMATIVOS!$C$1:$XFD$1,0))="Consolidado")+--(INDEX(NORMATIVOS!$C$278:$XFD$278,1,MATCH($B$3,NORMATIVOS!$C$1:$XFD$1,0))="Consolidado")+--(INDEX(NORMATIVOS!$C$279:$XFD$279,1,MATCH($B$3,NORMATIVOS!$C$1:$XFD$1,0))="Consolidado")</f>
        <v>15</v>
      </c>
      <c r="F21">
        <f>--(INDEX(NORMATIVOS!$C$262:$XFD$262,1,MATCH($B$3,NORMATIVOS!$C$1:$XFD$1,0))="En proceso")+--(INDEX(NORMATIVOS!$C$263:$XFD$263,1,MATCH($B$3,NORMATIVOS!$C$1:$XFD$1,0))="En proceso")+--(INDEX(NORMATIVOS!$C$264:$XFD$264,1,MATCH($B$3,NORMATIVOS!$C$1:$XFD$1,0))="En proceso")+--(INDEX(NORMATIVOS!$C$265:$XFD$265,1,MATCH($B$3,NORMATIVOS!$C$1:$XFD$1,0))="En proceso")+--(INDEX(NORMATIVOS!$C$266:$XFD$266,1,MATCH($B$3,NORMATIVOS!$C$1:$XFD$1,0))="En proceso")+--(INDEX(NORMATIVOS!$C$267:$XFD$267,1,MATCH($B$3,NORMATIVOS!$C$1:$XFD$1,0))="En proceso")+--(INDEX(NORMATIVOS!$C$268:$XFD$268,1,MATCH($B$3,NORMATIVOS!$C$1:$XFD$1,0))="En proceso")+--(INDEX(NORMATIVOS!$C$269:$XFD$269,1,MATCH($B$3,NORMATIVOS!$C$1:$XFD$1,0))="En proceso")+--(INDEX(NORMATIVOS!$C$270:$XFD$270,1,MATCH($B$3,NORMATIVOS!$C$1:$XFD$1,0))="En proceso")+--(INDEX(NORMATIVOS!$C$271:$XFD$271,1,MATCH($B$3,NORMATIVOS!$C$1:$XFD$1,0))="En proceso")+--(INDEX(NORMATIVOS!$C$272:$XFD$272,1,MATCH($B$3,NORMATIVOS!$C$1:$XFD$1,0))="En proceso")+--(INDEX(NORMATIVOS!$C$273:$XFD$273,1,MATCH($B$3,NORMATIVOS!$C$1:$XFD$1,0))="En proceso")+--(INDEX(NORMATIVOS!$C$274:$XFD$274,1,MATCH($B$3,NORMATIVOS!$C$1:$XFD$1,0))="En proceso")+--(INDEX(NORMATIVOS!$C$275:$XFD$275,1,MATCH($B$3,NORMATIVOS!$C$1:$XFD$1,0))="En proceso")+--(INDEX(NORMATIVOS!$C$276:$XFD$276,1,MATCH($B$3,NORMATIVOS!$C$1:$XFD$1,0))="En proceso")+--(INDEX(NORMATIVOS!$C$277:$XFD$277,1,MATCH($B$3,NORMATIVOS!$C$1:$XFD$1,0))="En proceso")+--(INDEX(NORMATIVOS!$C$278:$XFD$278,1,MATCH($B$3,NORMATIVOS!$C$1:$XFD$1,0))="En proceso")+--(INDEX(NORMATIVOS!$C$279:$XFD$279,1,MATCH($B$3,NORMATIVOS!$C$1:$XFD$1,0))="En proceso")</f>
        <v>0</v>
      </c>
      <c r="G21">
        <f>--(INDEX(NORMATIVOS!$C$262:$XFD$262,1,MATCH($B$3,NORMATIVOS!$C$1:$XFD$1,0))="Proyección")+--(INDEX(NORMATIVOS!$C$263:$XFD$263,1,MATCH($B$3,NORMATIVOS!$C$1:$XFD$1,0))="Proyección")+--(INDEX(NORMATIVOS!$C$264:$XFD$264,1,MATCH($B$3,NORMATIVOS!$C$1:$XFD$1,0))="Proyección")+--(INDEX(NORMATIVOS!$C$265:$XFD$265,1,MATCH($B$3,NORMATIVOS!$C$1:$XFD$1,0))="Proyección")+--(INDEX(NORMATIVOS!$C$266:$XFD$266,1,MATCH($B$3,NORMATIVOS!$C$1:$XFD$1,0))="Proyección")+--(INDEX(NORMATIVOS!$C$267:$XFD$267,1,MATCH($B$3,NORMATIVOS!$C$1:$XFD$1,0))="Proyección")+--(INDEX(NORMATIVOS!$C$268:$XFD$268,1,MATCH($B$3,NORMATIVOS!$C$1:$XFD$1,0))="Proyección")+--(INDEX(NORMATIVOS!$C$269:$XFD$269,1,MATCH($B$3,NORMATIVOS!$C$1:$XFD$1,0))="Proyección")+--(INDEX(NORMATIVOS!$C$270:$XFD$270,1,MATCH($B$3,NORMATIVOS!$C$1:$XFD$1,0))="Proyección")+--(INDEX(NORMATIVOS!$C$271:$XFD$271,1,MATCH($B$3,NORMATIVOS!$C$1:$XFD$1,0))="Proyección")+--(INDEX(NORMATIVOS!$C$272:$XFD$272,1,MATCH($B$3,NORMATIVOS!$C$1:$XFD$1,0))="Proyección")+--(INDEX(NORMATIVOS!$C$273:$XFD$273,1,MATCH($B$3,NORMATIVOS!$C$1:$XFD$1,0))="Proyección")+--(INDEX(NORMATIVOS!$C$274:$XFD$274,1,MATCH($B$3,NORMATIVOS!$C$1:$XFD$1,0))="Proyección")+--(INDEX(NORMATIVOS!$C$275:$XFD$275,1,MATCH($B$3,NORMATIVOS!$C$1:$XFD$1,0))="Proyección")+--(INDEX(NORMATIVOS!$C$276:$XFD$276,1,MATCH($B$3,NORMATIVOS!$C$1:$XFD$1,0))="Proyección")+--(INDEX(NORMATIVOS!$C$277:$XFD$277,1,MATCH($B$3,NORMATIVOS!$C$1:$XFD$1,0))="Proyección")+--(INDEX(NORMATIVOS!$C$278:$XFD$278,1,MATCH($B$3,NORMATIVOS!$C$1:$XFD$1,0))="Proyección")+--(INDEX(NORMATIVOS!$C$279:$XFD$279,1,MATCH($B$3,NORMATIVOS!$C$1:$XFD$1,0))="Proyección")</f>
        <v>3</v>
      </c>
      <c r="H21" s="13">
        <f>IFERROR(E21/COUNTA(NORMATIVOS!$B$262:$B$279),0)</f>
        <v>0.8333333333333334</v>
      </c>
    </row>
    <row r="25" spans="1:8">
      <c r="A25" s="136" t="s">
        <v>319</v>
      </c>
      <c r="B25" s="130"/>
      <c r="C25" s="130"/>
    </row>
    <row r="26" spans="1:8">
      <c r="A26" s="10" t="s">
        <v>318</v>
      </c>
      <c r="B26" s="10" t="s">
        <v>320</v>
      </c>
      <c r="C26" s="10" t="s">
        <v>321</v>
      </c>
    </row>
    <row r="27" spans="1:8">
      <c r="A27" t="s">
        <v>31</v>
      </c>
      <c r="B27" t="s">
        <v>32</v>
      </c>
      <c r="C27" t="str">
        <f>INDEX(NORMATIVOS!$C$3:$XFD$3,1,MATCH($B$3,NORMATIVOS!$C$1:$XFD$1,0))</f>
        <v>Consolidado</v>
      </c>
    </row>
    <row r="28" spans="1:8">
      <c r="A28" t="s">
        <v>31</v>
      </c>
      <c r="B28" t="s">
        <v>35</v>
      </c>
      <c r="C28" t="str">
        <f>INDEX(NORMATIVOS!$C$4:$XFD$4,1,MATCH($B$3,NORMATIVOS!$C$1:$XFD$1,0))</f>
        <v>Consolidado</v>
      </c>
    </row>
    <row r="29" spans="1:8">
      <c r="A29" t="s">
        <v>31</v>
      </c>
      <c r="B29" t="s">
        <v>36</v>
      </c>
      <c r="C29" t="str">
        <f>INDEX(NORMATIVOS!$C$5:$XFD$5,1,MATCH($B$3,NORMATIVOS!$C$1:$XFD$1,0))</f>
        <v>Consolidado</v>
      </c>
    </row>
    <row r="30" spans="1:8">
      <c r="A30" t="s">
        <v>31</v>
      </c>
      <c r="B30" t="s">
        <v>37</v>
      </c>
      <c r="C30" t="str">
        <f>INDEX(NORMATIVOS!$C$6:$XFD$6,1,MATCH($B$3,NORMATIVOS!$C$1:$XFD$1,0))</f>
        <v>Consolidado</v>
      </c>
    </row>
    <row r="31" spans="1:8">
      <c r="A31" t="s">
        <v>31</v>
      </c>
      <c r="B31" t="s">
        <v>38</v>
      </c>
      <c r="C31" t="str">
        <f>INDEX(NORMATIVOS!$C$7:$XFD$7,1,MATCH($B$3,NORMATIVOS!$C$1:$XFD$1,0))</f>
        <v>Consolidado</v>
      </c>
    </row>
    <row r="32" spans="1:8">
      <c r="A32" t="s">
        <v>31</v>
      </c>
      <c r="B32" t="s">
        <v>39</v>
      </c>
      <c r="C32" t="str">
        <f>INDEX(NORMATIVOS!$C$8:$XFD$8,1,MATCH($B$3,NORMATIVOS!$C$1:$XFD$1,0))</f>
        <v>Consolidado</v>
      </c>
    </row>
    <row r="33" spans="1:3">
      <c r="A33" t="s">
        <v>31</v>
      </c>
      <c r="B33" t="s">
        <v>40</v>
      </c>
      <c r="C33" t="str">
        <f>INDEX(NORMATIVOS!$C$9:$XFD$9,1,MATCH($B$3,NORMATIVOS!$C$1:$XFD$1,0))</f>
        <v>Consolidado</v>
      </c>
    </row>
    <row r="34" spans="1:3">
      <c r="A34" t="s">
        <v>31</v>
      </c>
      <c r="B34" t="s">
        <v>41</v>
      </c>
      <c r="C34" t="str">
        <f>INDEX(NORMATIVOS!$C$10:$XFD$10,1,MATCH($B$3,NORMATIVOS!$C$1:$XFD$1,0))</f>
        <v>Consolidado</v>
      </c>
    </row>
    <row r="35" spans="1:3">
      <c r="A35" t="s">
        <v>31</v>
      </c>
      <c r="B35" t="s">
        <v>42</v>
      </c>
      <c r="C35" t="str">
        <f>INDEX(NORMATIVOS!$C$11:$XFD$11,1,MATCH($B$3,NORMATIVOS!$C$1:$XFD$1,0))</f>
        <v>Consolidado</v>
      </c>
    </row>
    <row r="36" spans="1:3">
      <c r="A36" t="s">
        <v>31</v>
      </c>
      <c r="B36" t="s">
        <v>43</v>
      </c>
      <c r="C36" t="str">
        <f>INDEX(NORMATIVOS!$C$12:$XFD$12,1,MATCH($B$3,NORMATIVOS!$C$1:$XFD$1,0))</f>
        <v>Consolidado</v>
      </c>
    </row>
    <row r="37" spans="1:3">
      <c r="A37" t="s">
        <v>31</v>
      </c>
      <c r="B37" t="s">
        <v>44</v>
      </c>
      <c r="C37" t="str">
        <f>INDEX(NORMATIVOS!$C$13:$XFD$13,1,MATCH($B$3,NORMATIVOS!$C$1:$XFD$1,0))</f>
        <v>Consolidado</v>
      </c>
    </row>
    <row r="38" spans="1:3">
      <c r="A38" t="s">
        <v>31</v>
      </c>
      <c r="B38" t="s">
        <v>45</v>
      </c>
      <c r="C38" t="str">
        <f>INDEX(NORMATIVOS!$C$14:$XFD$14,1,MATCH($B$3,NORMATIVOS!$C$1:$XFD$1,0))</f>
        <v>Consolidado</v>
      </c>
    </row>
    <row r="39" spans="1:3">
      <c r="A39" t="s">
        <v>31</v>
      </c>
      <c r="B39" t="s">
        <v>46</v>
      </c>
      <c r="C39" t="str">
        <f>INDEX(NORMATIVOS!$C$15:$XFD$15,1,MATCH($B$3,NORMATIVOS!$C$1:$XFD$1,0))</f>
        <v>Consolidado</v>
      </c>
    </row>
    <row r="40" spans="1:3">
      <c r="A40" t="s">
        <v>31</v>
      </c>
      <c r="B40" t="s">
        <v>47</v>
      </c>
      <c r="C40" t="str">
        <f>INDEX(NORMATIVOS!$C$16:$XFD$16,1,MATCH($B$3,NORMATIVOS!$C$1:$XFD$1,0))</f>
        <v>Consolidado</v>
      </c>
    </row>
    <row r="41" spans="1:3">
      <c r="A41" t="s">
        <v>301</v>
      </c>
      <c r="B41" t="s">
        <v>322</v>
      </c>
      <c r="C41" t="str">
        <f>INDEX(NORMATIVOS!$C$17:$XFD$17,1,MATCH($B$3,NORMATIVOS!$C$1:$XFD$1,0))</f>
        <v>Consolidado</v>
      </c>
    </row>
    <row r="42" spans="1:3">
      <c r="A42" t="s">
        <v>301</v>
      </c>
      <c r="B42" t="s">
        <v>50</v>
      </c>
      <c r="C42" t="str">
        <f>INDEX(NORMATIVOS!$C$18:$XFD$18,1,MATCH($B$3,NORMATIVOS!$C$1:$XFD$1,0))</f>
        <v>Consolidado</v>
      </c>
    </row>
    <row r="43" spans="1:3">
      <c r="A43" t="s">
        <v>301</v>
      </c>
      <c r="B43" t="s">
        <v>51</v>
      </c>
      <c r="C43" t="str">
        <f>INDEX(NORMATIVOS!$C$19:$XFD$19,1,MATCH($B$3,NORMATIVOS!$C$1:$XFD$1,0))</f>
        <v>Consolidado</v>
      </c>
    </row>
    <row r="44" spans="1:3">
      <c r="A44" t="s">
        <v>301</v>
      </c>
      <c r="B44" t="s">
        <v>52</v>
      </c>
      <c r="C44" t="str">
        <f>INDEX(NORMATIVOS!$C$20:$XFD$20,1,MATCH($B$3,NORMATIVOS!$C$1:$XFD$1,0))</f>
        <v>Consolidado</v>
      </c>
    </row>
    <row r="45" spans="1:3">
      <c r="A45" t="s">
        <v>301</v>
      </c>
      <c r="B45" t="s">
        <v>53</v>
      </c>
      <c r="C45" t="str">
        <f>INDEX(NORMATIVOS!$C$21:$XFD$21,1,MATCH($B$3,NORMATIVOS!$C$1:$XFD$1,0))</f>
        <v>Consolidado</v>
      </c>
    </row>
    <row r="46" spans="1:3">
      <c r="A46" t="s">
        <v>301</v>
      </c>
      <c r="B46" t="s">
        <v>54</v>
      </c>
      <c r="C46" t="str">
        <f>INDEX(NORMATIVOS!$C$22:$XFD$22,1,MATCH($B$3,NORMATIVOS!$C$1:$XFD$1,0))</f>
        <v>Consolidado</v>
      </c>
    </row>
    <row r="47" spans="1:3">
      <c r="A47" t="s">
        <v>301</v>
      </c>
      <c r="B47" t="s">
        <v>323</v>
      </c>
      <c r="C47" t="str">
        <f>INDEX(NORMATIVOS!$C$23:$XFD$23,1,MATCH($B$3,NORMATIVOS!$C$1:$XFD$1,0))</f>
        <v>Consolidado</v>
      </c>
    </row>
    <row r="48" spans="1:3">
      <c r="A48" t="s">
        <v>301</v>
      </c>
      <c r="B48" t="s">
        <v>56</v>
      </c>
      <c r="C48" t="str">
        <f>INDEX(NORMATIVOS!$C$24:$XFD$24,1,MATCH($B$3,NORMATIVOS!$C$1:$XFD$1,0))</f>
        <v>Consolidado</v>
      </c>
    </row>
    <row r="49" spans="1:3">
      <c r="A49" t="s">
        <v>301</v>
      </c>
      <c r="B49" t="s">
        <v>57</v>
      </c>
      <c r="C49" t="str">
        <f>INDEX(NORMATIVOS!$C$25:$XFD$25,1,MATCH($B$3,NORMATIVOS!$C$1:$XFD$1,0))</f>
        <v>Consolidado</v>
      </c>
    </row>
    <row r="50" spans="1:3">
      <c r="A50" t="s">
        <v>301</v>
      </c>
      <c r="B50" t="s">
        <v>58</v>
      </c>
      <c r="C50" t="str">
        <f>INDEX(NORMATIVOS!$C$26:$XFD$26,1,MATCH($B$3,NORMATIVOS!$C$1:$XFD$1,0))</f>
        <v>Consolidado</v>
      </c>
    </row>
    <row r="51" spans="1:3">
      <c r="A51" t="s">
        <v>301</v>
      </c>
      <c r="B51" t="s">
        <v>324</v>
      </c>
      <c r="C51" t="str">
        <f>INDEX(NORMATIVOS!$C$27:$XFD$27,1,MATCH($B$3,NORMATIVOS!$C$1:$XFD$1,0))</f>
        <v>Consolidado</v>
      </c>
    </row>
    <row r="52" spans="1:3">
      <c r="A52" t="s">
        <v>304</v>
      </c>
      <c r="B52" t="s">
        <v>61</v>
      </c>
      <c r="C52" t="str">
        <f>INDEX(NORMATIVOS!$C$28:$XFD$28,1,MATCH($B$3,NORMATIVOS!$C$1:$XFD$1,0))</f>
        <v>Consolidado</v>
      </c>
    </row>
    <row r="53" spans="1:3">
      <c r="A53" t="s">
        <v>304</v>
      </c>
      <c r="B53" t="s">
        <v>62</v>
      </c>
      <c r="C53" t="str">
        <f>INDEX(NORMATIVOS!$C$29:$XFD$29,1,MATCH($B$3,NORMATIVOS!$C$1:$XFD$1,0))</f>
        <v>Consolidado</v>
      </c>
    </row>
    <row r="54" spans="1:3">
      <c r="A54" t="s">
        <v>304</v>
      </c>
      <c r="B54" t="s">
        <v>63</v>
      </c>
      <c r="C54" t="str">
        <f>INDEX(NORMATIVOS!$C$30:$XFD$30,1,MATCH($B$3,NORMATIVOS!$C$1:$XFD$1,0))</f>
        <v>Consolidado</v>
      </c>
    </row>
    <row r="55" spans="1:3">
      <c r="A55" t="s">
        <v>304</v>
      </c>
      <c r="B55" t="s">
        <v>64</v>
      </c>
      <c r="C55" t="str">
        <f>INDEX(NORMATIVOS!$C$31:$XFD$31,1,MATCH($B$3,NORMATIVOS!$C$1:$XFD$1,0))</f>
        <v>Consolidado</v>
      </c>
    </row>
    <row r="56" spans="1:3">
      <c r="A56" t="s">
        <v>304</v>
      </c>
      <c r="B56" t="s">
        <v>65</v>
      </c>
      <c r="C56" t="str">
        <f>INDEX(NORMATIVOS!$C$32:$XFD$32,1,MATCH($B$3,NORMATIVOS!$C$1:$XFD$1,0))</f>
        <v>Consolidado</v>
      </c>
    </row>
    <row r="57" spans="1:3">
      <c r="A57" t="s">
        <v>304</v>
      </c>
      <c r="B57" t="s">
        <v>66</v>
      </c>
      <c r="C57" t="str">
        <f>INDEX(NORMATIVOS!$C$33:$XFD$33,1,MATCH($B$3,NORMATIVOS!$C$1:$XFD$1,0))</f>
        <v>Consolidado</v>
      </c>
    </row>
    <row r="58" spans="1:3">
      <c r="A58" t="s">
        <v>304</v>
      </c>
      <c r="B58" t="s">
        <v>67</v>
      </c>
      <c r="C58" t="str">
        <f>INDEX(NORMATIVOS!$C$34:$XFD$34,1,MATCH($B$3,NORMATIVOS!$C$1:$XFD$1,0))</f>
        <v>Consolidado</v>
      </c>
    </row>
    <row r="59" spans="1:3">
      <c r="A59" t="s">
        <v>304</v>
      </c>
      <c r="B59" t="s">
        <v>68</v>
      </c>
      <c r="C59" t="str">
        <f>INDEX(NORMATIVOS!$C$35:$XFD$35,1,MATCH($B$3,NORMATIVOS!$C$1:$XFD$1,0))</f>
        <v>Consolidado</v>
      </c>
    </row>
    <row r="60" spans="1:3">
      <c r="A60" t="s">
        <v>304</v>
      </c>
      <c r="B60" t="s">
        <v>69</v>
      </c>
      <c r="C60" t="str">
        <f>INDEX(NORMATIVOS!$C$36:$XFD$36,1,MATCH($B$3,NORMATIVOS!$C$1:$XFD$1,0))</f>
        <v>Consolidado</v>
      </c>
    </row>
    <row r="61" spans="1:3">
      <c r="A61" t="s">
        <v>304</v>
      </c>
      <c r="B61" t="s">
        <v>70</v>
      </c>
      <c r="C61" t="str">
        <f>INDEX(NORMATIVOS!$C$37:$XFD$37,1,MATCH($B$3,NORMATIVOS!$C$1:$XFD$1,0))</f>
        <v>Consolidado</v>
      </c>
    </row>
    <row r="62" spans="1:3">
      <c r="A62" t="s">
        <v>306</v>
      </c>
      <c r="B62" t="s">
        <v>72</v>
      </c>
      <c r="C62" t="str">
        <f>INDEX(NORMATIVOS!$C$38:$XFD$38,1,MATCH($B$3,NORMATIVOS!$C$1:$XFD$1,0))</f>
        <v>Consolidado</v>
      </c>
    </row>
    <row r="63" spans="1:3">
      <c r="A63" t="s">
        <v>306</v>
      </c>
      <c r="B63" t="s">
        <v>73</v>
      </c>
      <c r="C63" t="str">
        <f>INDEX(NORMATIVOS!$C$39:$XFD$39,1,MATCH($B$3,NORMATIVOS!$C$1:$XFD$1,0))</f>
        <v>Consolidado</v>
      </c>
    </row>
    <row r="64" spans="1:3">
      <c r="A64" t="s">
        <v>306</v>
      </c>
      <c r="B64" t="s">
        <v>74</v>
      </c>
      <c r="C64" t="str">
        <f>INDEX(NORMATIVOS!$C$40:$XFD$40,1,MATCH($B$3,NORMATIVOS!$C$1:$XFD$1,0))</f>
        <v>Consolidado</v>
      </c>
    </row>
    <row r="65" spans="1:3">
      <c r="A65" t="s">
        <v>306</v>
      </c>
      <c r="B65" t="s">
        <v>75</v>
      </c>
      <c r="C65" t="str">
        <f>INDEX(NORMATIVOS!$C$41:$XFD$41,1,MATCH($B$3,NORMATIVOS!$C$1:$XFD$1,0))</f>
        <v>Consolidado</v>
      </c>
    </row>
    <row r="66" spans="1:3">
      <c r="A66" t="s">
        <v>306</v>
      </c>
      <c r="B66" t="s">
        <v>76</v>
      </c>
      <c r="C66" t="str">
        <f>INDEX(NORMATIVOS!$C$42:$XFD$42,1,MATCH($B$3,NORMATIVOS!$C$1:$XFD$1,0))</f>
        <v>Consolidado</v>
      </c>
    </row>
    <row r="67" spans="1:3">
      <c r="A67" t="s">
        <v>306</v>
      </c>
      <c r="B67" t="s">
        <v>77</v>
      </c>
      <c r="C67" t="str">
        <f>INDEX(NORMATIVOS!$C$43:$XFD$43,1,MATCH($B$3,NORMATIVOS!$C$1:$XFD$1,0))</f>
        <v>Consolidado</v>
      </c>
    </row>
    <row r="68" spans="1:3">
      <c r="A68" t="s">
        <v>306</v>
      </c>
      <c r="B68" t="s">
        <v>78</v>
      </c>
      <c r="C68" t="str">
        <f>INDEX(NORMATIVOS!$C$44:$XFD$44,1,MATCH($B$3,NORMATIVOS!$C$1:$XFD$1,0))</f>
        <v>Consolidado</v>
      </c>
    </row>
    <row r="69" spans="1:3">
      <c r="A69" t="s">
        <v>306</v>
      </c>
      <c r="B69" t="s">
        <v>79</v>
      </c>
      <c r="C69" t="str">
        <f>INDEX(NORMATIVOS!$C$45:$XFD$45,1,MATCH($B$3,NORMATIVOS!$C$1:$XFD$1,0))</f>
        <v>Consolidado</v>
      </c>
    </row>
    <row r="70" spans="1:3">
      <c r="A70" t="s">
        <v>306</v>
      </c>
      <c r="B70" t="s">
        <v>80</v>
      </c>
      <c r="C70" t="str">
        <f>INDEX(NORMATIVOS!$C$46:$XFD$46,1,MATCH($B$3,NORMATIVOS!$C$1:$XFD$1,0))</f>
        <v>Consolidado</v>
      </c>
    </row>
    <row r="71" spans="1:3">
      <c r="A71" t="s">
        <v>82</v>
      </c>
      <c r="B71" t="s">
        <v>83</v>
      </c>
      <c r="C71" t="str">
        <f>INDEX(NORMATIVOS!$C$49:$XFD$49,1,MATCH($B$3,NORMATIVOS!$C$1:$XFD$1,0))</f>
        <v>Consolidado</v>
      </c>
    </row>
    <row r="72" spans="1:3">
      <c r="A72" t="s">
        <v>82</v>
      </c>
      <c r="B72" t="s">
        <v>84</v>
      </c>
      <c r="C72" t="str">
        <f>INDEX(NORMATIVOS!$C$50:$XFD$50,1,MATCH($B$3,NORMATIVOS!$C$1:$XFD$1,0))</f>
        <v>Consolidado</v>
      </c>
    </row>
    <row r="73" spans="1:3">
      <c r="A73" t="s">
        <v>82</v>
      </c>
      <c r="B73" t="s">
        <v>85</v>
      </c>
      <c r="C73" t="str">
        <f>INDEX(NORMATIVOS!$C$51:$XFD$51,1,MATCH($B$3,NORMATIVOS!$C$1:$XFD$1,0))</f>
        <v>Consolidado</v>
      </c>
    </row>
    <row r="74" spans="1:3">
      <c r="A74" t="s">
        <v>82</v>
      </c>
      <c r="B74" t="s">
        <v>86</v>
      </c>
      <c r="C74" t="str">
        <f>INDEX(NORMATIVOS!$C$52:$XFD$52,1,MATCH($B$3,NORMATIVOS!$C$1:$XFD$1,0))</f>
        <v>Consolidado</v>
      </c>
    </row>
    <row r="75" spans="1:3">
      <c r="A75" t="s">
        <v>82</v>
      </c>
      <c r="B75" t="s">
        <v>87</v>
      </c>
      <c r="C75" t="str">
        <f>INDEX(NORMATIVOS!$C$53:$XFD$53,1,MATCH($B$3,NORMATIVOS!$C$1:$XFD$1,0))</f>
        <v>Consolidado</v>
      </c>
    </row>
    <row r="76" spans="1:3">
      <c r="A76" t="s">
        <v>82</v>
      </c>
      <c r="B76" t="s">
        <v>88</v>
      </c>
      <c r="C76" t="str">
        <f>INDEX(NORMATIVOS!$C$54:$XFD$54,1,MATCH($B$3,NORMATIVOS!$C$1:$XFD$1,0))</f>
        <v>Consolidado</v>
      </c>
    </row>
    <row r="77" spans="1:3">
      <c r="A77" t="s">
        <v>82</v>
      </c>
      <c r="B77" t="s">
        <v>89</v>
      </c>
      <c r="C77" t="str">
        <f>INDEX(NORMATIVOS!$C$55:$XFD$55,1,MATCH($B$3,NORMATIVOS!$C$1:$XFD$1,0))</f>
        <v>Consolidado</v>
      </c>
    </row>
    <row r="78" spans="1:3">
      <c r="A78" t="s">
        <v>82</v>
      </c>
      <c r="B78" t="s">
        <v>90</v>
      </c>
      <c r="C78" t="str">
        <f>INDEX(NORMATIVOS!$C$56:$XFD$56,1,MATCH($B$3,NORMATIVOS!$C$1:$XFD$1,0))</f>
        <v>Consolidado</v>
      </c>
    </row>
    <row r="79" spans="1:3">
      <c r="A79" t="s">
        <v>82</v>
      </c>
      <c r="B79" t="s">
        <v>91</v>
      </c>
      <c r="C79" t="str">
        <f>INDEX(NORMATIVOS!$C$57:$XFD$57,1,MATCH($B$3,NORMATIVOS!$C$1:$XFD$1,0))</f>
        <v>Consolidado</v>
      </c>
    </row>
    <row r="80" spans="1:3">
      <c r="A80" t="s">
        <v>82</v>
      </c>
      <c r="B80" t="s">
        <v>92</v>
      </c>
      <c r="C80" t="str">
        <f>INDEX(NORMATIVOS!$C$58:$XFD$58,1,MATCH($B$3,NORMATIVOS!$C$1:$XFD$1,0))</f>
        <v>Consolidado</v>
      </c>
    </row>
    <row r="81" spans="1:3">
      <c r="A81" t="s">
        <v>82</v>
      </c>
      <c r="B81" t="s">
        <v>93</v>
      </c>
      <c r="C81" t="str">
        <f>INDEX(NORMATIVOS!$C$59:$XFD$59,1,MATCH($B$3,NORMATIVOS!$C$1:$XFD$1,0))</f>
        <v>Consolidado</v>
      </c>
    </row>
    <row r="82" spans="1:3">
      <c r="A82" t="s">
        <v>82</v>
      </c>
      <c r="B82" t="s">
        <v>94</v>
      </c>
      <c r="C82" t="str">
        <f>INDEX(NORMATIVOS!$C$60:$XFD$60,1,MATCH($B$3,NORMATIVOS!$C$1:$XFD$1,0))</f>
        <v>Consolidado</v>
      </c>
    </row>
    <row r="83" spans="1:3">
      <c r="A83" t="s">
        <v>82</v>
      </c>
      <c r="B83" t="s">
        <v>95</v>
      </c>
      <c r="C83" t="str">
        <f>INDEX(NORMATIVOS!$C$61:$XFD$61,1,MATCH($B$3,NORMATIVOS!$C$1:$XFD$1,0))</f>
        <v>Consolidado</v>
      </c>
    </row>
    <row r="84" spans="1:3">
      <c r="A84" t="s">
        <v>82</v>
      </c>
      <c r="B84" t="s">
        <v>325</v>
      </c>
      <c r="C84" t="str">
        <f>INDEX(NORMATIVOS!$C$62:$XFD$62,1,MATCH($B$3,NORMATIVOS!$C$1:$XFD$1,0))</f>
        <v>Consolidado</v>
      </c>
    </row>
    <row r="85" spans="1:3">
      <c r="A85" t="s">
        <v>82</v>
      </c>
      <c r="B85" t="s">
        <v>97</v>
      </c>
      <c r="C85" t="str">
        <f>INDEX(NORMATIVOS!$C$63:$XFD$63,1,MATCH($B$3,NORMATIVOS!$C$1:$XFD$1,0))</f>
        <v>Consolidado</v>
      </c>
    </row>
    <row r="86" spans="1:3">
      <c r="A86" t="s">
        <v>82</v>
      </c>
      <c r="B86" t="s">
        <v>98</v>
      </c>
      <c r="C86" t="str">
        <f>INDEX(NORMATIVOS!$C$64:$XFD$64,1,MATCH($B$3,NORMATIVOS!$C$1:$XFD$1,0))</f>
        <v>Consolidado</v>
      </c>
    </row>
    <row r="87" spans="1:3">
      <c r="A87" t="s">
        <v>99</v>
      </c>
      <c r="B87" t="s">
        <v>100</v>
      </c>
      <c r="C87" t="str">
        <f>INDEX(NORMATIVOS!$C$65:$XFD$65,1,MATCH($B$3,NORMATIVOS!$C$1:$XFD$1,0))</f>
        <v>Consolidado</v>
      </c>
    </row>
    <row r="88" spans="1:3">
      <c r="A88" t="s">
        <v>99</v>
      </c>
      <c r="B88" t="s">
        <v>101</v>
      </c>
      <c r="C88" t="str">
        <f>INDEX(NORMATIVOS!$C$66:$XFD$66,1,MATCH($B$3,NORMATIVOS!$C$1:$XFD$1,0))</f>
        <v>Consolidado</v>
      </c>
    </row>
    <row r="89" spans="1:3">
      <c r="A89" t="s">
        <v>99</v>
      </c>
      <c r="B89" t="s">
        <v>94</v>
      </c>
      <c r="C89" t="str">
        <f>INDEX(NORMATIVOS!$C$67:$XFD$67,1,MATCH($B$3,NORMATIVOS!$C$1:$XFD$1,0))</f>
        <v>Consolidado</v>
      </c>
    </row>
    <row r="90" spans="1:3">
      <c r="A90" t="s">
        <v>99</v>
      </c>
      <c r="B90" t="s">
        <v>102</v>
      </c>
      <c r="C90" t="str">
        <f>INDEX(NORMATIVOS!$C$68:$XFD$68,1,MATCH($B$3,NORMATIVOS!$C$1:$XFD$1,0))</f>
        <v>Consolidado</v>
      </c>
    </row>
    <row r="91" spans="1:3">
      <c r="A91" t="s">
        <v>99</v>
      </c>
      <c r="B91" t="s">
        <v>103</v>
      </c>
      <c r="C91" t="str">
        <f>INDEX(NORMATIVOS!$C$69:$XFD$69,1,MATCH($B$3,NORMATIVOS!$C$1:$XFD$1,0))</f>
        <v>Consolidado</v>
      </c>
    </row>
    <row r="92" spans="1:3">
      <c r="A92" t="s">
        <v>99</v>
      </c>
      <c r="B92" t="s">
        <v>92</v>
      </c>
      <c r="C92" t="str">
        <f>INDEX(NORMATIVOS!$C$70:$XFD$70,1,MATCH($B$3,NORMATIVOS!$C$1:$XFD$1,0))</f>
        <v>Consolidado</v>
      </c>
    </row>
    <row r="93" spans="1:3">
      <c r="A93" t="s">
        <v>99</v>
      </c>
      <c r="B93" t="s">
        <v>95</v>
      </c>
      <c r="C93" t="str">
        <f>INDEX(NORMATIVOS!$C$71:$XFD$71,1,MATCH($B$3,NORMATIVOS!$C$1:$XFD$1,0))</f>
        <v>Consolidado</v>
      </c>
    </row>
    <row r="94" spans="1:3">
      <c r="A94" t="s">
        <v>99</v>
      </c>
      <c r="B94" t="s">
        <v>325</v>
      </c>
      <c r="C94" t="str">
        <f>INDEX(NORMATIVOS!$C$72:$XFD$72,1,MATCH($B$3,NORMATIVOS!$C$1:$XFD$1,0))</f>
        <v>Consolidado</v>
      </c>
    </row>
    <row r="95" spans="1:3">
      <c r="A95" t="s">
        <v>99</v>
      </c>
      <c r="B95" t="s">
        <v>104</v>
      </c>
      <c r="C95" t="str">
        <f>INDEX(NORMATIVOS!$C$73:$XFD$73,1,MATCH($B$3,NORMATIVOS!$C$1:$XFD$1,0))</f>
        <v>Consolidado</v>
      </c>
    </row>
    <row r="96" spans="1:3">
      <c r="A96" t="s">
        <v>99</v>
      </c>
      <c r="B96" t="s">
        <v>105</v>
      </c>
      <c r="C96" t="str">
        <f>INDEX(NORMATIVOS!$C$74:$XFD$74,1,MATCH($B$3,NORMATIVOS!$C$1:$XFD$1,0))</f>
        <v>Consolidado</v>
      </c>
    </row>
    <row r="97" spans="1:3">
      <c r="A97" t="s">
        <v>99</v>
      </c>
      <c r="B97" t="s">
        <v>98</v>
      </c>
      <c r="C97" t="str">
        <f>INDEX(NORMATIVOS!$C$75:$XFD$75,1,MATCH($B$3,NORMATIVOS!$C$1:$XFD$1,0))</f>
        <v>Consolidado</v>
      </c>
    </row>
    <row r="98" spans="1:3">
      <c r="A98" t="s">
        <v>99</v>
      </c>
      <c r="B98" t="s">
        <v>106</v>
      </c>
      <c r="C98" t="str">
        <f>INDEX(NORMATIVOS!$C$76:$XFD$76,1,MATCH($B$3,NORMATIVOS!$C$1:$XFD$1,0))</f>
        <v>Consolidado</v>
      </c>
    </row>
    <row r="99" spans="1:3">
      <c r="A99" t="s">
        <v>99</v>
      </c>
      <c r="B99" t="s">
        <v>107</v>
      </c>
      <c r="C99" t="str">
        <f>INDEX(NORMATIVOS!$C$77:$XFD$77,1,MATCH($B$3,NORMATIVOS!$C$1:$XFD$1,0))</f>
        <v>Consolidado</v>
      </c>
    </row>
    <row r="100" spans="1:3">
      <c r="A100" t="s">
        <v>99</v>
      </c>
      <c r="B100" t="s">
        <v>108</v>
      </c>
      <c r="C100" t="str">
        <f>INDEX(NORMATIVOS!$C$78:$XFD$78,1,MATCH($B$3,NORMATIVOS!$C$1:$XFD$1,0))</f>
        <v>Consolidado</v>
      </c>
    </row>
    <row r="101" spans="1:3">
      <c r="A101" t="s">
        <v>109</v>
      </c>
      <c r="B101" t="s">
        <v>110</v>
      </c>
      <c r="C101" t="str">
        <f>INDEX(NORMATIVOS!$C$79:$XFD$79,1,MATCH($B$3,NORMATIVOS!$C$1:$XFD$1,0))</f>
        <v>Consolidado</v>
      </c>
    </row>
    <row r="102" spans="1:3">
      <c r="A102" t="s">
        <v>109</v>
      </c>
      <c r="B102" t="s">
        <v>111</v>
      </c>
      <c r="C102" t="str">
        <f>INDEX(NORMATIVOS!$C$80:$XFD$80,1,MATCH($B$3,NORMATIVOS!$C$1:$XFD$1,0))</f>
        <v>Consolidado</v>
      </c>
    </row>
    <row r="103" spans="1:3">
      <c r="A103" t="s">
        <v>109</v>
      </c>
      <c r="B103" t="s">
        <v>112</v>
      </c>
      <c r="C103" t="str">
        <f>INDEX(NORMATIVOS!$C$81:$XFD$81,1,MATCH($B$3,NORMATIVOS!$C$1:$XFD$1,0))</f>
        <v>Consolidado</v>
      </c>
    </row>
    <row r="104" spans="1:3">
      <c r="A104" t="s">
        <v>109</v>
      </c>
      <c r="B104" t="s">
        <v>113</v>
      </c>
      <c r="C104" t="str">
        <f>INDEX(NORMATIVOS!$C$82:$XFD$82,1,MATCH($B$3,NORMATIVOS!$C$1:$XFD$1,0))</f>
        <v>Consolidado</v>
      </c>
    </row>
    <row r="105" spans="1:3">
      <c r="A105" t="s">
        <v>109</v>
      </c>
      <c r="B105" t="s">
        <v>326</v>
      </c>
      <c r="C105" t="str">
        <f>INDEX(NORMATIVOS!$C$83:$XFD$83,1,MATCH($B$3,NORMATIVOS!$C$1:$XFD$1,0))</f>
        <v>Consolidado</v>
      </c>
    </row>
    <row r="106" spans="1:3">
      <c r="A106" t="s">
        <v>109</v>
      </c>
      <c r="B106" t="s">
        <v>115</v>
      </c>
      <c r="C106" t="str">
        <f>INDEX(NORMATIVOS!$C$84:$XFD$84,1,MATCH($B$3,NORMATIVOS!$C$1:$XFD$1,0))</f>
        <v>Consolidado</v>
      </c>
    </row>
    <row r="107" spans="1:3">
      <c r="A107" t="s">
        <v>109</v>
      </c>
      <c r="B107" t="s">
        <v>327</v>
      </c>
      <c r="C107" t="str">
        <f>INDEX(NORMATIVOS!$C$85:$XFD$85,1,MATCH($B$3,NORMATIVOS!$C$1:$XFD$1,0))</f>
        <v>Consolidado</v>
      </c>
    </row>
    <row r="108" spans="1:3">
      <c r="A108" t="s">
        <v>109</v>
      </c>
      <c r="B108" t="s">
        <v>117</v>
      </c>
      <c r="C108" t="str">
        <f>INDEX(NORMATIVOS!$C$86:$XFD$86,1,MATCH($B$3,NORMATIVOS!$C$1:$XFD$1,0))</f>
        <v>Consolidado</v>
      </c>
    </row>
    <row r="109" spans="1:3">
      <c r="A109" t="s">
        <v>109</v>
      </c>
      <c r="B109" t="s">
        <v>118</v>
      </c>
      <c r="C109" t="str">
        <f>INDEX(NORMATIVOS!$C$87:$XFD$87,1,MATCH($B$3,NORMATIVOS!$C$1:$XFD$1,0))</f>
        <v>Consolidado</v>
      </c>
    </row>
    <row r="110" spans="1:3">
      <c r="A110" t="s">
        <v>109</v>
      </c>
      <c r="B110" t="s">
        <v>119</v>
      </c>
      <c r="C110" t="str">
        <f>INDEX(NORMATIVOS!$C$88:$XFD$88,1,MATCH($B$3,NORMATIVOS!$C$1:$XFD$1,0))</f>
        <v>Consolidado</v>
      </c>
    </row>
    <row r="111" spans="1:3">
      <c r="A111" t="s">
        <v>109</v>
      </c>
      <c r="B111" t="s">
        <v>120</v>
      </c>
      <c r="C111" t="str">
        <f>INDEX(NORMATIVOS!$C$89:$XFD$89,1,MATCH($B$3,NORMATIVOS!$C$1:$XFD$1,0))</f>
        <v>Consolidado</v>
      </c>
    </row>
    <row r="112" spans="1:3">
      <c r="A112" t="s">
        <v>109</v>
      </c>
      <c r="B112" t="s">
        <v>92</v>
      </c>
      <c r="C112" t="str">
        <f>INDEX(NORMATIVOS!$C$90:$XFD$90,1,MATCH($B$3,NORMATIVOS!$C$1:$XFD$1,0))</f>
        <v>Consolidado</v>
      </c>
    </row>
    <row r="113" spans="1:3">
      <c r="A113" t="s">
        <v>109</v>
      </c>
      <c r="B113" t="s">
        <v>121</v>
      </c>
      <c r="C113" t="str">
        <f>INDEX(NORMATIVOS!$C$91:$XFD$91,1,MATCH($B$3,NORMATIVOS!$C$1:$XFD$1,0))</f>
        <v>Consolidado</v>
      </c>
    </row>
    <row r="114" spans="1:3">
      <c r="A114" t="s">
        <v>109</v>
      </c>
      <c r="B114" t="s">
        <v>122</v>
      </c>
      <c r="C114" t="str">
        <f>INDEX(NORMATIVOS!$C$92:$XFD$92,1,MATCH($B$3,NORMATIVOS!$C$1:$XFD$1,0))</f>
        <v>Consolidado</v>
      </c>
    </row>
    <row r="115" spans="1:3">
      <c r="A115" t="s">
        <v>109</v>
      </c>
      <c r="B115" t="s">
        <v>123</v>
      </c>
      <c r="C115" t="str">
        <f>INDEX(NORMATIVOS!$C$93:$XFD$93,1,MATCH($B$3,NORMATIVOS!$C$1:$XFD$1,0))</f>
        <v>Consolidado</v>
      </c>
    </row>
    <row r="116" spans="1:3">
      <c r="A116" t="s">
        <v>109</v>
      </c>
      <c r="B116" t="s">
        <v>124</v>
      </c>
      <c r="C116" t="str">
        <f>INDEX(NORMATIVOS!$C$94:$XFD$94,1,MATCH($B$3,NORMATIVOS!$C$1:$XFD$1,0))</f>
        <v>Consolidado</v>
      </c>
    </row>
    <row r="117" spans="1:3">
      <c r="A117" t="s">
        <v>109</v>
      </c>
      <c r="B117" t="s">
        <v>125</v>
      </c>
      <c r="C117" t="str">
        <f>INDEX(NORMATIVOS!$C$95:$XFD$95,1,MATCH($B$3,NORMATIVOS!$C$1:$XFD$1,0))</f>
        <v>Consolidado</v>
      </c>
    </row>
    <row r="118" spans="1:3">
      <c r="A118" t="s">
        <v>109</v>
      </c>
      <c r="B118" t="s">
        <v>107</v>
      </c>
      <c r="C118" t="str">
        <f>INDEX(NORMATIVOS!$C$96:$XFD$96,1,MATCH($B$3,NORMATIVOS!$C$1:$XFD$1,0))</f>
        <v>Consolidado</v>
      </c>
    </row>
    <row r="119" spans="1:3">
      <c r="A119" t="s">
        <v>109</v>
      </c>
      <c r="B119" t="s">
        <v>108</v>
      </c>
      <c r="C119" t="str">
        <f>INDEX(NORMATIVOS!$C$97:$XFD$97,1,MATCH($B$3,NORMATIVOS!$C$1:$XFD$1,0))</f>
        <v>Consolidado</v>
      </c>
    </row>
    <row r="120" spans="1:3">
      <c r="A120" t="s">
        <v>109</v>
      </c>
      <c r="B120" t="s">
        <v>127</v>
      </c>
      <c r="C120" t="str">
        <f>INDEX(NORMATIVOS!$C$98:$XFD$98,1,MATCH($B$3,NORMATIVOS!$C$1:$XFD$1,0))</f>
        <v>Consolidado</v>
      </c>
    </row>
    <row r="121" spans="1:3">
      <c r="A121" t="s">
        <v>109</v>
      </c>
      <c r="B121" t="s">
        <v>128</v>
      </c>
      <c r="C121" t="str">
        <f>INDEX(NORMATIVOS!$C$99:$XFD$99,1,MATCH($B$3,NORMATIVOS!$C$1:$XFD$1,0))</f>
        <v>Consolidado</v>
      </c>
    </row>
    <row r="122" spans="1:3">
      <c r="A122" t="s">
        <v>109</v>
      </c>
      <c r="B122" t="s">
        <v>129</v>
      </c>
      <c r="C122" t="str">
        <f>INDEX(NORMATIVOS!$C$100:$XFD$100,1,MATCH($B$3,NORMATIVOS!$C$1:$XFD$1,0))</f>
        <v>Consolidado</v>
      </c>
    </row>
    <row r="123" spans="1:3">
      <c r="A123" t="s">
        <v>109</v>
      </c>
      <c r="B123" t="s">
        <v>130</v>
      </c>
      <c r="C123" t="str">
        <f>INDEX(NORMATIVOS!$C$101:$XFD$101,1,MATCH($B$3,NORMATIVOS!$C$1:$XFD$1,0))</f>
        <v>Proyección</v>
      </c>
    </row>
    <row r="124" spans="1:3">
      <c r="A124" t="s">
        <v>109</v>
      </c>
      <c r="B124" t="s">
        <v>356</v>
      </c>
      <c r="C124" t="str">
        <f>INDEX(NORMATIVOS!$C$102:$XFD$102,1,MATCH($B$3,NORMATIVOS!$C$1:$XFD$1,0))</f>
        <v>Consolidado</v>
      </c>
    </row>
    <row r="125" spans="1:3">
      <c r="A125" t="s">
        <v>109</v>
      </c>
      <c r="B125" t="s">
        <v>131</v>
      </c>
      <c r="C125" t="str">
        <f>INDEX(NORMATIVOS!$C$103:$XFD$103,1,MATCH($B$3,NORMATIVOS!$C$1:$XFD$1,0))</f>
        <v>Consolidado</v>
      </c>
    </row>
    <row r="126" spans="1:3">
      <c r="A126" t="s">
        <v>109</v>
      </c>
      <c r="B126" t="s">
        <v>132</v>
      </c>
      <c r="C126" t="str">
        <f>INDEX(NORMATIVOS!$C$104:$XFD$104,1,MATCH($B$3,NORMATIVOS!$C$1:$XFD$1,0))</f>
        <v>Proyección</v>
      </c>
    </row>
    <row r="127" spans="1:3">
      <c r="A127" t="s">
        <v>109</v>
      </c>
      <c r="B127" t="s">
        <v>133</v>
      </c>
      <c r="C127" t="str">
        <f>INDEX(NORMATIVOS!$C$105:$XFD$105,1,MATCH($B$3,NORMATIVOS!$C$1:$XFD$1,0))</f>
        <v>Proyección</v>
      </c>
    </row>
    <row r="128" spans="1:3">
      <c r="A128" t="s">
        <v>135</v>
      </c>
      <c r="B128" t="s">
        <v>136</v>
      </c>
      <c r="C128" t="str">
        <f>INDEX(NORMATIVOS!$C$108:$XFD$108,1,MATCH($B$3,NORMATIVOS!$C$1:$XFD$1,0))</f>
        <v>Consolidado</v>
      </c>
    </row>
    <row r="129" spans="1:3">
      <c r="A129" t="s">
        <v>135</v>
      </c>
      <c r="B129" t="s">
        <v>137</v>
      </c>
      <c r="C129" t="str">
        <f>INDEX(NORMATIVOS!$C$109:$XFD$109,1,MATCH($B$3,NORMATIVOS!$C$1:$XFD$1,0))</f>
        <v>Consolidado</v>
      </c>
    </row>
    <row r="130" spans="1:3">
      <c r="A130" t="s">
        <v>135</v>
      </c>
      <c r="B130" t="s">
        <v>138</v>
      </c>
      <c r="C130" t="str">
        <f>INDEX(NORMATIVOS!$C$110:$XFD$110,1,MATCH($B$3,NORMATIVOS!$C$1:$XFD$1,0))</f>
        <v>Consolidado</v>
      </c>
    </row>
    <row r="131" spans="1:3">
      <c r="A131" t="s">
        <v>135</v>
      </c>
      <c r="B131" t="s">
        <v>328</v>
      </c>
      <c r="C131" t="str">
        <f>INDEX(NORMATIVOS!$C$111:$XFD$111,1,MATCH($B$3,NORMATIVOS!$C$1:$XFD$1,0))</f>
        <v>Consolidado</v>
      </c>
    </row>
    <row r="132" spans="1:3">
      <c r="A132" t="s">
        <v>135</v>
      </c>
      <c r="B132" t="s">
        <v>140</v>
      </c>
      <c r="C132" t="str">
        <f>INDEX(NORMATIVOS!$C$112:$XFD$112,1,MATCH($B$3,NORMATIVOS!$C$1:$XFD$1,0))</f>
        <v>Consolidado</v>
      </c>
    </row>
    <row r="133" spans="1:3">
      <c r="A133" t="s">
        <v>135</v>
      </c>
      <c r="B133" t="s">
        <v>141</v>
      </c>
      <c r="C133" t="str">
        <f>INDEX(NORMATIVOS!$C$113:$XFD$113,1,MATCH($B$3,NORMATIVOS!$C$1:$XFD$1,0))</f>
        <v>Consolidado</v>
      </c>
    </row>
    <row r="134" spans="1:3">
      <c r="A134" t="s">
        <v>135</v>
      </c>
      <c r="B134" t="s">
        <v>142</v>
      </c>
      <c r="C134" t="str">
        <f>INDEX(NORMATIVOS!$C$114:$XFD$114,1,MATCH($B$3,NORMATIVOS!$C$1:$XFD$1,0))</f>
        <v>Consolidado</v>
      </c>
    </row>
    <row r="135" spans="1:3">
      <c r="A135" t="s">
        <v>135</v>
      </c>
      <c r="B135" t="s">
        <v>35</v>
      </c>
      <c r="C135" t="str">
        <f>INDEX(NORMATIVOS!$C$115:$XFD$115,1,MATCH($B$3,NORMATIVOS!$C$1:$XFD$1,0))</f>
        <v>Consolidado</v>
      </c>
    </row>
    <row r="136" spans="1:3">
      <c r="A136" t="s">
        <v>135</v>
      </c>
      <c r="B136" t="s">
        <v>143</v>
      </c>
      <c r="C136" t="str">
        <f>INDEX(NORMATIVOS!$C$116:$XFD$116,1,MATCH($B$3,NORMATIVOS!$C$1:$XFD$1,0))</f>
        <v>Consolidado</v>
      </c>
    </row>
    <row r="137" spans="1:3">
      <c r="A137" t="s">
        <v>135</v>
      </c>
      <c r="B137" t="s">
        <v>329</v>
      </c>
      <c r="C137" t="str">
        <f>INDEX(NORMATIVOS!$C$117:$XFD$117,1,MATCH($B$3,NORMATIVOS!$C$1:$XFD$1,0))</f>
        <v>N/A</v>
      </c>
    </row>
    <row r="138" spans="1:3">
      <c r="A138" t="s">
        <v>135</v>
      </c>
      <c r="B138" t="s">
        <v>145</v>
      </c>
      <c r="C138" t="str">
        <f>INDEX(NORMATIVOS!$C$118:$XFD$118,1,MATCH($B$3,NORMATIVOS!$C$1:$XFD$1,0))</f>
        <v>Consolidado</v>
      </c>
    </row>
    <row r="139" spans="1:3">
      <c r="A139" t="s">
        <v>135</v>
      </c>
      <c r="B139" t="s">
        <v>146</v>
      </c>
      <c r="C139" t="str">
        <f>INDEX(NORMATIVOS!$C$119:$XFD$119,1,MATCH($B$3,NORMATIVOS!$C$1:$XFD$1,0))</f>
        <v>Consolidado</v>
      </c>
    </row>
    <row r="140" spans="1:3">
      <c r="A140" t="s">
        <v>135</v>
      </c>
      <c r="B140" t="s">
        <v>147</v>
      </c>
      <c r="C140" t="str">
        <f>INDEX(NORMATIVOS!$C$120:$XFD$120,1,MATCH($B$3,NORMATIVOS!$C$1:$XFD$1,0))</f>
        <v>Consolidado</v>
      </c>
    </row>
    <row r="141" spans="1:3">
      <c r="A141" t="s">
        <v>135</v>
      </c>
      <c r="B141" t="s">
        <v>148</v>
      </c>
      <c r="C141" t="str">
        <f>INDEX(NORMATIVOS!$C$121:$XFD$121,1,MATCH($B$3,NORMATIVOS!$C$1:$XFD$1,0))</f>
        <v>Proyección</v>
      </c>
    </row>
    <row r="142" spans="1:3">
      <c r="A142" t="s">
        <v>135</v>
      </c>
      <c r="B142" t="s">
        <v>149</v>
      </c>
      <c r="C142" t="str">
        <f>INDEX(NORMATIVOS!$C$122:$XFD$122,1,MATCH($B$3,NORMATIVOS!$C$1:$XFD$1,0))</f>
        <v>Proyección</v>
      </c>
    </row>
    <row r="143" spans="1:3">
      <c r="A143" t="s">
        <v>150</v>
      </c>
      <c r="B143" t="s">
        <v>151</v>
      </c>
      <c r="C143" t="str">
        <f>INDEX(NORMATIVOS!$C$123:$XFD$123,1,MATCH($B$3,NORMATIVOS!$C$1:$XFD$1,0))</f>
        <v>Consolidado</v>
      </c>
    </row>
    <row r="144" spans="1:3">
      <c r="A144" t="s">
        <v>150</v>
      </c>
      <c r="B144" t="s">
        <v>330</v>
      </c>
      <c r="C144" t="str">
        <f>INDEX(NORMATIVOS!$C$124:$XFD$124,1,MATCH($B$3,NORMATIVOS!$C$1:$XFD$1,0))</f>
        <v>Consolidado</v>
      </c>
    </row>
    <row r="145" spans="1:3">
      <c r="A145" t="s">
        <v>150</v>
      </c>
      <c r="B145" t="s">
        <v>153</v>
      </c>
      <c r="C145" t="str">
        <f>INDEX(NORMATIVOS!$C$125:$XFD$125,1,MATCH($B$3,NORMATIVOS!$C$1:$XFD$1,0))</f>
        <v>Consolidado</v>
      </c>
    </row>
    <row r="146" spans="1:3">
      <c r="A146" t="s">
        <v>150</v>
      </c>
      <c r="B146" t="s">
        <v>154</v>
      </c>
      <c r="C146" t="str">
        <f>INDEX(NORMATIVOS!$C$126:$XFD$126,1,MATCH($B$3,NORMATIVOS!$C$1:$XFD$1,0))</f>
        <v>Consolidado</v>
      </c>
    </row>
    <row r="147" spans="1:3">
      <c r="A147" t="s">
        <v>150</v>
      </c>
      <c r="B147" t="s">
        <v>155</v>
      </c>
      <c r="C147" t="str">
        <f>INDEX(NORMATIVOS!$C$127:$XFD$127,1,MATCH($B$3,NORMATIVOS!$C$1:$XFD$1,0))</f>
        <v>Consolidado</v>
      </c>
    </row>
    <row r="148" spans="1:3">
      <c r="A148" t="s">
        <v>150</v>
      </c>
      <c r="B148" t="s">
        <v>156</v>
      </c>
      <c r="C148" t="str">
        <f>INDEX(NORMATIVOS!$C$128:$XFD$128,1,MATCH($B$3,NORMATIVOS!$C$1:$XFD$1,0))</f>
        <v>Consolidado</v>
      </c>
    </row>
    <row r="149" spans="1:3">
      <c r="A149" t="s">
        <v>150</v>
      </c>
      <c r="B149" t="s">
        <v>157</v>
      </c>
      <c r="C149" t="str">
        <f>INDEX(NORMATIVOS!$C$129:$XFD$129,1,MATCH($B$3,NORMATIVOS!$C$1:$XFD$1,0))</f>
        <v>Consolidado</v>
      </c>
    </row>
    <row r="150" spans="1:3">
      <c r="A150" t="s">
        <v>150</v>
      </c>
      <c r="B150" t="s">
        <v>331</v>
      </c>
      <c r="C150" t="str">
        <f>INDEX(NORMATIVOS!$C$130:$XFD$130,1,MATCH($B$3,NORMATIVOS!$C$1:$XFD$1,0))</f>
        <v>Consolidado</v>
      </c>
    </row>
    <row r="151" spans="1:3">
      <c r="A151" t="s">
        <v>150</v>
      </c>
      <c r="B151" t="s">
        <v>159</v>
      </c>
      <c r="C151" t="str">
        <f>INDEX(NORMATIVOS!$C$131:$XFD$131,1,MATCH($B$3,NORMATIVOS!$C$1:$XFD$1,0))</f>
        <v>Consolidado</v>
      </c>
    </row>
    <row r="152" spans="1:3">
      <c r="A152" t="s">
        <v>150</v>
      </c>
      <c r="B152" t="s">
        <v>160</v>
      </c>
      <c r="C152" t="str">
        <f>INDEX(NORMATIVOS!$C$132:$XFD$132,1,MATCH($B$3,NORMATIVOS!$C$1:$XFD$1,0))</f>
        <v>Consolidado</v>
      </c>
    </row>
    <row r="153" spans="1:3">
      <c r="A153" t="s">
        <v>150</v>
      </c>
      <c r="B153" t="s">
        <v>161</v>
      </c>
      <c r="C153" t="str">
        <f>INDEX(NORMATIVOS!$C$133:$XFD$133,1,MATCH($B$3,NORMATIVOS!$C$1:$XFD$1,0))</f>
        <v>Consolidado</v>
      </c>
    </row>
    <row r="154" spans="1:3">
      <c r="A154" t="s">
        <v>150</v>
      </c>
      <c r="B154" t="s">
        <v>332</v>
      </c>
      <c r="C154" t="str">
        <f>INDEX(NORMATIVOS!$C$134:$XFD$134,1,MATCH($B$3,NORMATIVOS!$C$1:$XFD$1,0))</f>
        <v>N/A</v>
      </c>
    </row>
    <row r="155" spans="1:3">
      <c r="A155" t="s">
        <v>150</v>
      </c>
      <c r="B155" t="s">
        <v>333</v>
      </c>
      <c r="C155" t="str">
        <f>INDEX(NORMATIVOS!$C$135:$XFD$135,1,MATCH($B$3,NORMATIVOS!$C$1:$XFD$1,0))</f>
        <v>Consolidado</v>
      </c>
    </row>
    <row r="156" spans="1:3">
      <c r="A156" t="s">
        <v>150</v>
      </c>
      <c r="B156" t="s">
        <v>164</v>
      </c>
      <c r="C156" t="str">
        <f>INDEX(NORMATIVOS!$C$136:$XFD$136,1,MATCH($B$3,NORMATIVOS!$C$1:$XFD$1,0))</f>
        <v>Consolidado</v>
      </c>
    </row>
    <row r="157" spans="1:3">
      <c r="A157" t="s">
        <v>150</v>
      </c>
      <c r="B157" t="s">
        <v>165</v>
      </c>
      <c r="C157" t="str">
        <f>INDEX(NORMATIVOS!$C$137:$XFD$137,1,MATCH($B$3,NORMATIVOS!$C$1:$XFD$1,0))</f>
        <v>Consolidado</v>
      </c>
    </row>
    <row r="158" spans="1:3">
      <c r="A158" t="s">
        <v>150</v>
      </c>
      <c r="B158" t="s">
        <v>166</v>
      </c>
      <c r="C158" t="str">
        <f>INDEX(NORMATIVOS!$C$138:$XFD$138,1,MATCH($B$3,NORMATIVOS!$C$1:$XFD$1,0))</f>
        <v>N/A</v>
      </c>
    </row>
    <row r="159" spans="1:3">
      <c r="A159" t="s">
        <v>150</v>
      </c>
      <c r="B159" t="s">
        <v>167</v>
      </c>
      <c r="C159" t="str">
        <f>INDEX(NORMATIVOS!$C$139:$XFD$139,1,MATCH($B$3,NORMATIVOS!$C$1:$XFD$1,0))</f>
        <v>Consolidado</v>
      </c>
    </row>
    <row r="160" spans="1:3">
      <c r="A160" t="s">
        <v>150</v>
      </c>
      <c r="B160" t="s">
        <v>168</v>
      </c>
      <c r="C160" t="str">
        <f>INDEX(NORMATIVOS!$C$140:$XFD$140,1,MATCH($B$3,NORMATIVOS!$C$1:$XFD$1,0))</f>
        <v>Consolidado</v>
      </c>
    </row>
    <row r="161" spans="1:3">
      <c r="A161" t="s">
        <v>150</v>
      </c>
      <c r="B161" t="s">
        <v>169</v>
      </c>
      <c r="C161" t="str">
        <f>INDEX(NORMATIVOS!$C$141:$XFD$141,1,MATCH($B$3,NORMATIVOS!$C$1:$XFD$1,0))</f>
        <v>Consolidado</v>
      </c>
    </row>
    <row r="162" spans="1:3">
      <c r="A162" t="s">
        <v>150</v>
      </c>
      <c r="B162" t="s">
        <v>170</v>
      </c>
      <c r="C162" t="str">
        <f>INDEX(NORMATIVOS!$C$142:$XFD$142,1,MATCH($B$3,NORMATIVOS!$C$1:$XFD$1,0))</f>
        <v>Consolidado</v>
      </c>
    </row>
    <row r="163" spans="1:3">
      <c r="A163" t="s">
        <v>172</v>
      </c>
      <c r="B163" t="s">
        <v>173</v>
      </c>
      <c r="C163" t="str">
        <f>INDEX(NORMATIVOS!$C$145:$XFD$145,1,MATCH($B$3,NORMATIVOS!$C$1:$XFD$1,0))</f>
        <v>Consolidado</v>
      </c>
    </row>
    <row r="164" spans="1:3">
      <c r="A164" t="s">
        <v>172</v>
      </c>
      <c r="B164" t="s">
        <v>334</v>
      </c>
      <c r="C164" t="str">
        <f>INDEX(NORMATIVOS!$C$146:$XFD$146,1,MATCH($B$3,NORMATIVOS!$C$1:$XFD$1,0))</f>
        <v>Consolidado</v>
      </c>
    </row>
    <row r="165" spans="1:3">
      <c r="A165" t="s">
        <v>172</v>
      </c>
      <c r="B165" t="s">
        <v>335</v>
      </c>
      <c r="C165" t="str">
        <f>INDEX(NORMATIVOS!$C$147:$XFD$147,1,MATCH($B$3,NORMATIVOS!$C$1:$XFD$1,0))</f>
        <v>Consolidado</v>
      </c>
    </row>
    <row r="166" spans="1:3">
      <c r="A166" t="s">
        <v>172</v>
      </c>
      <c r="B166" t="s">
        <v>176</v>
      </c>
      <c r="C166" t="str">
        <f>INDEX(NORMATIVOS!$C$148:$XFD$148,1,MATCH($B$3,NORMATIVOS!$C$1:$XFD$1,0))</f>
        <v>Consolidado</v>
      </c>
    </row>
    <row r="167" spans="1:3">
      <c r="A167" t="s">
        <v>172</v>
      </c>
      <c r="B167" t="s">
        <v>177</v>
      </c>
      <c r="C167" t="str">
        <f>INDEX(NORMATIVOS!$C$149:$XFD$149,1,MATCH($B$3,NORMATIVOS!$C$1:$XFD$1,0))</f>
        <v>Consolidado</v>
      </c>
    </row>
    <row r="168" spans="1:3">
      <c r="A168" t="s">
        <v>172</v>
      </c>
      <c r="B168" t="s">
        <v>178</v>
      </c>
      <c r="C168" t="str">
        <f>INDEX(NORMATIVOS!$C$150:$XFD$150,1,MATCH($B$3,NORMATIVOS!$C$1:$XFD$1,0))</f>
        <v>Consolidado</v>
      </c>
    </row>
    <row r="169" spans="1:3">
      <c r="A169" t="s">
        <v>172</v>
      </c>
      <c r="B169" t="s">
        <v>179</v>
      </c>
      <c r="C169" t="str">
        <f>INDEX(NORMATIVOS!$C$151:$XFD$151,1,MATCH($B$3,NORMATIVOS!$C$1:$XFD$1,0))</f>
        <v>Consolidado</v>
      </c>
    </row>
    <row r="170" spans="1:3">
      <c r="A170" t="s">
        <v>180</v>
      </c>
      <c r="B170" t="s">
        <v>181</v>
      </c>
      <c r="C170" t="str">
        <f>INDEX(NORMATIVOS!$C$152:$XFD$152,1,MATCH($B$3,NORMATIVOS!$C$1:$XFD$1,0))</f>
        <v>Consolidado</v>
      </c>
    </row>
    <row r="171" spans="1:3">
      <c r="A171" t="s">
        <v>180</v>
      </c>
      <c r="B171" t="s">
        <v>51</v>
      </c>
      <c r="C171" t="str">
        <f>INDEX(NORMATIVOS!$C$153:$XFD$153,1,MATCH($B$3,NORMATIVOS!$C$1:$XFD$1,0))</f>
        <v>Consolidado</v>
      </c>
    </row>
    <row r="172" spans="1:3">
      <c r="A172" t="s">
        <v>180</v>
      </c>
      <c r="B172" t="s">
        <v>182</v>
      </c>
      <c r="C172" t="str">
        <f>INDEX(NORMATIVOS!$C$154:$XFD$154,1,MATCH($B$3,NORMATIVOS!$C$1:$XFD$1,0))</f>
        <v>Consolidado</v>
      </c>
    </row>
    <row r="173" spans="1:3">
      <c r="A173" t="s">
        <v>180</v>
      </c>
      <c r="B173" t="s">
        <v>183</v>
      </c>
      <c r="C173" t="str">
        <f>INDEX(NORMATIVOS!$C$155:$XFD$155,1,MATCH($B$3,NORMATIVOS!$C$1:$XFD$1,0))</f>
        <v>Consolidado</v>
      </c>
    </row>
    <row r="174" spans="1:3">
      <c r="A174" t="s">
        <v>180</v>
      </c>
      <c r="B174" t="s">
        <v>184</v>
      </c>
      <c r="C174" t="str">
        <f>INDEX(NORMATIVOS!$C$156:$XFD$156,1,MATCH($B$3,NORMATIVOS!$C$1:$XFD$1,0))</f>
        <v>Consolidado</v>
      </c>
    </row>
    <row r="175" spans="1:3">
      <c r="A175" t="s">
        <v>180</v>
      </c>
      <c r="B175" t="s">
        <v>185</v>
      </c>
      <c r="C175" t="str">
        <f>INDEX(NORMATIVOS!$C$157:$XFD$157,1,MATCH($B$3,NORMATIVOS!$C$1:$XFD$1,0))</f>
        <v>Consolidado</v>
      </c>
    </row>
    <row r="176" spans="1:3">
      <c r="A176" t="s">
        <v>180</v>
      </c>
      <c r="B176" t="s">
        <v>186</v>
      </c>
      <c r="C176" t="str">
        <f>INDEX(NORMATIVOS!$C$158:$XFD$158,1,MATCH($B$3,NORMATIVOS!$C$1:$XFD$1,0))</f>
        <v>Consolidado</v>
      </c>
    </row>
    <row r="177" spans="1:3">
      <c r="A177" t="s">
        <v>180</v>
      </c>
      <c r="B177" t="s">
        <v>187</v>
      </c>
      <c r="C177" t="str">
        <f>INDEX(NORMATIVOS!$C$159:$XFD$159,1,MATCH($B$3,NORMATIVOS!$C$1:$XFD$1,0))</f>
        <v>Consolidado</v>
      </c>
    </row>
    <row r="178" spans="1:3">
      <c r="A178" t="s">
        <v>180</v>
      </c>
      <c r="B178" t="s">
        <v>336</v>
      </c>
      <c r="C178" t="str">
        <f>INDEX(NORMATIVOS!$C$160:$XFD$160,1,MATCH($B$3,NORMATIVOS!$C$1:$XFD$1,0))</f>
        <v>Consolidado</v>
      </c>
    </row>
    <row r="179" spans="1:3">
      <c r="A179" t="s">
        <v>180</v>
      </c>
      <c r="B179" t="s">
        <v>189</v>
      </c>
      <c r="C179" t="str">
        <f>INDEX(NORMATIVOS!$C$161:$XFD$161,1,MATCH($B$3,NORMATIVOS!$C$1:$XFD$1,0))</f>
        <v>Consolidado</v>
      </c>
    </row>
    <row r="180" spans="1:3">
      <c r="A180" t="s">
        <v>180</v>
      </c>
      <c r="B180" t="s">
        <v>190</v>
      </c>
      <c r="C180" t="str">
        <f>INDEX(NORMATIVOS!$C$162:$XFD$162,1,MATCH($B$3,NORMATIVOS!$C$1:$XFD$1,0))</f>
        <v>Consolidado</v>
      </c>
    </row>
    <row r="181" spans="1:3">
      <c r="A181" t="s">
        <v>180</v>
      </c>
      <c r="B181" t="s">
        <v>191</v>
      </c>
      <c r="C181" t="str">
        <f>INDEX(NORMATIVOS!$C$163:$XFD$163,1,MATCH($B$3,NORMATIVOS!$C$1:$XFD$1,0))</f>
        <v>Consolidado</v>
      </c>
    </row>
    <row r="182" spans="1:3">
      <c r="A182" t="s">
        <v>180</v>
      </c>
      <c r="B182" t="s">
        <v>192</v>
      </c>
      <c r="C182" t="str">
        <f>INDEX(NORMATIVOS!$C$164:$XFD$164,1,MATCH($B$3,NORMATIVOS!$C$1:$XFD$1,0))</f>
        <v>N/A</v>
      </c>
    </row>
    <row r="183" spans="1:3">
      <c r="A183" t="s">
        <v>180</v>
      </c>
      <c r="B183" t="s">
        <v>193</v>
      </c>
      <c r="C183" t="str">
        <f>INDEX(NORMATIVOS!$C$165:$XFD$165,1,MATCH($B$3,NORMATIVOS!$C$1:$XFD$1,0))</f>
        <v>Consolidado</v>
      </c>
    </row>
    <row r="184" spans="1:3">
      <c r="A184" t="s">
        <v>180</v>
      </c>
      <c r="B184" t="s">
        <v>194</v>
      </c>
      <c r="C184" t="str">
        <f>INDEX(NORMATIVOS!$C$166:$XFD$166,1,MATCH($B$3,NORMATIVOS!$C$1:$XFD$1,0))</f>
        <v>Consolidado</v>
      </c>
    </row>
    <row r="185" spans="1:3">
      <c r="A185" t="s">
        <v>180</v>
      </c>
      <c r="B185" t="s">
        <v>195</v>
      </c>
      <c r="C185" t="str">
        <f>INDEX(NORMATIVOS!$C$167:$XFD$167,1,MATCH($B$3,NORMATIVOS!$C$1:$XFD$1,0))</f>
        <v>Proyección</v>
      </c>
    </row>
    <row r="186" spans="1:3">
      <c r="A186" t="s">
        <v>180</v>
      </c>
      <c r="B186" t="s">
        <v>196</v>
      </c>
      <c r="C186" t="str">
        <f>INDEX(NORMATIVOS!$C$168:$XFD$168,1,MATCH($B$3,NORMATIVOS!$C$1:$XFD$1,0))</f>
        <v>Proyección</v>
      </c>
    </row>
    <row r="187" spans="1:3">
      <c r="A187" t="s">
        <v>180</v>
      </c>
      <c r="B187" t="s">
        <v>197</v>
      </c>
      <c r="C187" t="str">
        <f>INDEX(NORMATIVOS!$C$169:$XFD$169,1,MATCH($B$3,NORMATIVOS!$C$1:$XFD$1,0))</f>
        <v>Proyección</v>
      </c>
    </row>
    <row r="188" spans="1:3">
      <c r="A188" t="s">
        <v>180</v>
      </c>
      <c r="B188" t="s">
        <v>198</v>
      </c>
      <c r="C188" t="str">
        <f>INDEX(NORMATIVOS!$C$170:$XFD$170,1,MATCH($B$3,NORMATIVOS!$C$1:$XFD$1,0))</f>
        <v>Proyección</v>
      </c>
    </row>
    <row r="189" spans="1:3">
      <c r="A189" t="s">
        <v>180</v>
      </c>
      <c r="B189" t="s">
        <v>199</v>
      </c>
      <c r="C189" t="str">
        <f>INDEX(NORMATIVOS!$C$171:$XFD$171,1,MATCH($B$3,NORMATIVOS!$C$1:$XFD$1,0))</f>
        <v>En proceso</v>
      </c>
    </row>
    <row r="190" spans="1:3">
      <c r="A190" t="s">
        <v>180</v>
      </c>
      <c r="B190" t="s">
        <v>200</v>
      </c>
      <c r="C190" t="str">
        <f>INDEX(NORMATIVOS!$C$172:$XFD$172,1,MATCH($B$3,NORMATIVOS!$C$1:$XFD$1,0))</f>
        <v>Proyección</v>
      </c>
    </row>
    <row r="191" spans="1:3">
      <c r="A191" t="s">
        <v>180</v>
      </c>
      <c r="B191" t="s">
        <v>201</v>
      </c>
      <c r="C191" t="str">
        <f>INDEX(NORMATIVOS!$C$173:$XFD$173,1,MATCH($B$3,NORMATIVOS!$C$1:$XFD$1,0))</f>
        <v>Proyección</v>
      </c>
    </row>
    <row r="192" spans="1:3">
      <c r="A192" t="s">
        <v>308</v>
      </c>
      <c r="B192" t="s">
        <v>204</v>
      </c>
      <c r="C192" t="str">
        <f>INDEX(NORMATIVOS!$C$176:$XFD$176,1,MATCH($B$3,NORMATIVOS!$C$1:$XFD$1,0))</f>
        <v>Consolidado</v>
      </c>
    </row>
    <row r="193" spans="1:3">
      <c r="A193" t="s">
        <v>308</v>
      </c>
      <c r="B193" t="s">
        <v>337</v>
      </c>
      <c r="C193" t="str">
        <f>INDEX(NORMATIVOS!$C$177:$XFD$177,1,MATCH($B$3,NORMATIVOS!$C$1:$XFD$1,0))</f>
        <v>Consolidado</v>
      </c>
    </row>
    <row r="194" spans="1:3">
      <c r="A194" t="s">
        <v>308</v>
      </c>
      <c r="B194" t="s">
        <v>338</v>
      </c>
      <c r="C194" t="str">
        <f>INDEX(NORMATIVOS!$C$178:$XFD$178,1,MATCH($B$3,NORMATIVOS!$C$1:$XFD$1,0))</f>
        <v>Consolidado</v>
      </c>
    </row>
    <row r="195" spans="1:3">
      <c r="A195" t="s">
        <v>308</v>
      </c>
      <c r="B195" t="s">
        <v>207</v>
      </c>
      <c r="C195" t="str">
        <f>INDEX(NORMATIVOS!$C$179:$XFD$179,1,MATCH($B$3,NORMATIVOS!$C$1:$XFD$1,0))</f>
        <v>Consolidado</v>
      </c>
    </row>
    <row r="196" spans="1:3">
      <c r="A196" t="s">
        <v>308</v>
      </c>
      <c r="B196" t="s">
        <v>208</v>
      </c>
      <c r="C196" t="str">
        <f>INDEX(NORMATIVOS!$C$180:$XFD$180,1,MATCH($B$3,NORMATIVOS!$C$1:$XFD$1,0))</f>
        <v>Consolidado</v>
      </c>
    </row>
    <row r="197" spans="1:3">
      <c r="A197" t="s">
        <v>308</v>
      </c>
      <c r="B197" t="s">
        <v>154</v>
      </c>
      <c r="C197" t="str">
        <f>INDEX(NORMATIVOS!$C$181:$XFD$181,1,MATCH($B$3,NORMATIVOS!$C$1:$XFD$1,0))</f>
        <v>Consolidado</v>
      </c>
    </row>
    <row r="198" spans="1:3">
      <c r="A198" t="s">
        <v>308</v>
      </c>
      <c r="B198" t="s">
        <v>209</v>
      </c>
      <c r="C198" t="str">
        <f>INDEX(NORMATIVOS!$C$182:$XFD$182,1,MATCH($B$3,NORMATIVOS!$C$1:$XFD$1,0))</f>
        <v>Consolidado</v>
      </c>
    </row>
    <row r="199" spans="1:3">
      <c r="A199" t="s">
        <v>308</v>
      </c>
      <c r="B199" t="s">
        <v>210</v>
      </c>
      <c r="C199" t="str">
        <f>INDEX(NORMATIVOS!$C$183:$XFD$183,1,MATCH($B$3,NORMATIVOS!$C$1:$XFD$1,0))</f>
        <v>Consolidado</v>
      </c>
    </row>
    <row r="200" spans="1:3">
      <c r="A200" t="s">
        <v>308</v>
      </c>
      <c r="B200" t="s">
        <v>211</v>
      </c>
      <c r="C200" t="str">
        <f>INDEX(NORMATIVOS!$C$184:$XFD$184,1,MATCH($B$3,NORMATIVOS!$C$1:$XFD$1,0))</f>
        <v>Consolidado</v>
      </c>
    </row>
    <row r="201" spans="1:3">
      <c r="A201" t="s">
        <v>308</v>
      </c>
      <c r="B201" t="s">
        <v>212</v>
      </c>
      <c r="C201" t="str">
        <f>INDEX(NORMATIVOS!$C$185:$XFD$185,1,MATCH($B$3,NORMATIVOS!$C$1:$XFD$1,0))</f>
        <v>Consolidado</v>
      </c>
    </row>
    <row r="202" spans="1:3">
      <c r="A202" t="s">
        <v>308</v>
      </c>
      <c r="B202" t="s">
        <v>213</v>
      </c>
      <c r="C202" t="str">
        <f>INDEX(NORMATIVOS!$C$186:$XFD$186,1,MATCH($B$3,NORMATIVOS!$C$1:$XFD$1,0))</f>
        <v>Consolidado</v>
      </c>
    </row>
    <row r="203" spans="1:3">
      <c r="A203" t="s">
        <v>308</v>
      </c>
      <c r="B203" t="s">
        <v>214</v>
      </c>
      <c r="C203" t="str">
        <f>INDEX(NORMATIVOS!$C$187:$XFD$187,1,MATCH($B$3,NORMATIVOS!$C$1:$XFD$1,0))</f>
        <v>Consolidado</v>
      </c>
    </row>
    <row r="204" spans="1:3">
      <c r="A204" t="s">
        <v>308</v>
      </c>
      <c r="B204" t="s">
        <v>165</v>
      </c>
      <c r="C204" t="str">
        <f>INDEX(NORMATIVOS!$C$188:$XFD$188,1,MATCH($B$3,NORMATIVOS!$C$1:$XFD$1,0))</f>
        <v>Consolidado</v>
      </c>
    </row>
    <row r="205" spans="1:3">
      <c r="A205" t="s">
        <v>308</v>
      </c>
      <c r="B205" t="s">
        <v>215</v>
      </c>
      <c r="C205" t="str">
        <f>INDEX(NORMATIVOS!$C$189:$XFD$189,1,MATCH($B$3,NORMATIVOS!$C$1:$XFD$1,0))</f>
        <v>Consolidado</v>
      </c>
    </row>
    <row r="206" spans="1:3">
      <c r="A206" t="s">
        <v>308</v>
      </c>
      <c r="B206" t="s">
        <v>216</v>
      </c>
      <c r="C206" t="str">
        <f>INDEX(NORMATIVOS!$C$190:$XFD$190,1,MATCH($B$3,NORMATIVOS!$C$1:$XFD$1,0))</f>
        <v>Consolidado</v>
      </c>
    </row>
    <row r="207" spans="1:3">
      <c r="A207" t="s">
        <v>308</v>
      </c>
      <c r="B207" t="s">
        <v>217</v>
      </c>
      <c r="C207" t="str">
        <f>INDEX(NORMATIVOS!$C$191:$XFD$191,1,MATCH($B$3,NORMATIVOS!$C$1:$XFD$1,0))</f>
        <v>Consolidado</v>
      </c>
    </row>
    <row r="208" spans="1:3">
      <c r="A208" t="s">
        <v>308</v>
      </c>
      <c r="B208" t="s">
        <v>218</v>
      </c>
      <c r="C208" t="str">
        <f>INDEX(NORMATIVOS!$C$192:$XFD$192,1,MATCH($B$3,NORMATIVOS!$C$1:$XFD$1,0))</f>
        <v>Consolidado</v>
      </c>
    </row>
    <row r="209" spans="1:3">
      <c r="A209" t="s">
        <v>308</v>
      </c>
      <c r="B209" t="s">
        <v>219</v>
      </c>
      <c r="C209" t="str">
        <f>INDEX(NORMATIVOS!$C$193:$XFD$193,1,MATCH($B$3,NORMATIVOS!$C$1:$XFD$1,0))</f>
        <v>En proceso</v>
      </c>
    </row>
    <row r="210" spans="1:3">
      <c r="A210" t="s">
        <v>220</v>
      </c>
      <c r="B210" t="s">
        <v>221</v>
      </c>
      <c r="C210" t="str">
        <f>INDEX(NORMATIVOS!$C$194:$XFD$194,1,MATCH($B$3,NORMATIVOS!$C$1:$XFD$1,0))</f>
        <v>Consolidado</v>
      </c>
    </row>
    <row r="211" spans="1:3">
      <c r="A211" t="s">
        <v>220</v>
      </c>
      <c r="B211" t="s">
        <v>142</v>
      </c>
      <c r="C211" t="str">
        <f>INDEX(NORMATIVOS!$C$195:$XFD$195,1,MATCH($B$3,NORMATIVOS!$C$1:$XFD$1,0))</f>
        <v>Consolidado</v>
      </c>
    </row>
    <row r="212" spans="1:3">
      <c r="A212" t="s">
        <v>220</v>
      </c>
      <c r="B212" t="s">
        <v>43</v>
      </c>
      <c r="C212" t="str">
        <f>INDEX(NORMATIVOS!$C$196:$XFD$196,1,MATCH($B$3,NORMATIVOS!$C$1:$XFD$1,0))</f>
        <v>Consolidado</v>
      </c>
    </row>
    <row r="213" spans="1:3">
      <c r="A213" t="s">
        <v>220</v>
      </c>
      <c r="B213" t="s">
        <v>204</v>
      </c>
      <c r="C213" t="str">
        <f>INDEX(NORMATIVOS!$C$197:$XFD$197,1,MATCH($B$3,NORMATIVOS!$C$1:$XFD$1,0))</f>
        <v>Consolidado</v>
      </c>
    </row>
    <row r="214" spans="1:3">
      <c r="A214" t="s">
        <v>220</v>
      </c>
      <c r="B214" t="s">
        <v>337</v>
      </c>
      <c r="C214" t="str">
        <f>INDEX(NORMATIVOS!$C$198:$XFD$198,1,MATCH($B$3,NORMATIVOS!$C$1:$XFD$1,0))</f>
        <v>Consolidado</v>
      </c>
    </row>
    <row r="215" spans="1:3">
      <c r="A215" t="s">
        <v>220</v>
      </c>
      <c r="B215" t="s">
        <v>223</v>
      </c>
      <c r="C215" t="str">
        <f>INDEX(NORMATIVOS!$C$199:$XFD$199,1,MATCH($B$3,NORMATIVOS!$C$1:$XFD$1,0))</f>
        <v>Consolidado</v>
      </c>
    </row>
    <row r="216" spans="1:3">
      <c r="A216" t="s">
        <v>220</v>
      </c>
      <c r="B216" t="s">
        <v>224</v>
      </c>
      <c r="C216" t="str">
        <f>INDEX(NORMATIVOS!$C$200:$XFD$200,1,MATCH($B$3,NORMATIVOS!$C$1:$XFD$1,0))</f>
        <v>Consolidado</v>
      </c>
    </row>
    <row r="217" spans="1:3">
      <c r="A217" t="s">
        <v>220</v>
      </c>
      <c r="B217" t="s">
        <v>225</v>
      </c>
      <c r="C217" t="str">
        <f>INDEX(NORMATIVOS!$C$201:$XFD$201,1,MATCH($B$3,NORMATIVOS!$C$1:$XFD$1,0))</f>
        <v>Consolidado</v>
      </c>
    </row>
    <row r="218" spans="1:3">
      <c r="A218" t="s">
        <v>220</v>
      </c>
      <c r="B218" t="s">
        <v>226</v>
      </c>
      <c r="C218" t="str">
        <f>INDEX(NORMATIVOS!$C$202:$XFD$202,1,MATCH($B$3,NORMATIVOS!$C$1:$XFD$1,0))</f>
        <v>Consolidado</v>
      </c>
    </row>
    <row r="219" spans="1:3">
      <c r="A219" t="s">
        <v>220</v>
      </c>
      <c r="B219" t="s">
        <v>227</v>
      </c>
      <c r="C219" t="str">
        <f>INDEX(NORMATIVOS!$C$203:$XFD$203,1,MATCH($B$3,NORMATIVOS!$C$1:$XFD$1,0))</f>
        <v>Consolidado</v>
      </c>
    </row>
    <row r="220" spans="1:3">
      <c r="A220" t="s">
        <v>220</v>
      </c>
      <c r="B220" t="s">
        <v>228</v>
      </c>
      <c r="C220" t="str">
        <f>INDEX(NORMATIVOS!$C$204:$XFD$204,1,MATCH($B$3,NORMATIVOS!$C$1:$XFD$1,0))</f>
        <v>Consolidado</v>
      </c>
    </row>
    <row r="221" spans="1:3">
      <c r="A221" t="s">
        <v>220</v>
      </c>
      <c r="B221" t="s">
        <v>229</v>
      </c>
      <c r="C221" t="str">
        <f>INDEX(NORMATIVOS!$C$205:$XFD$205,1,MATCH($B$3,NORMATIVOS!$C$1:$XFD$1,0))</f>
        <v>Consolidado</v>
      </c>
    </row>
    <row r="222" spans="1:3">
      <c r="A222" t="s">
        <v>220</v>
      </c>
      <c r="B222" t="s">
        <v>339</v>
      </c>
      <c r="C222" t="str">
        <f>INDEX(NORMATIVOS!$C$206:$XFD$206,1,MATCH($B$3,NORMATIVOS!$C$1:$XFD$1,0))</f>
        <v>Consolidado</v>
      </c>
    </row>
    <row r="223" spans="1:3">
      <c r="A223" t="s">
        <v>220</v>
      </c>
      <c r="B223" t="s">
        <v>340</v>
      </c>
      <c r="C223" t="str">
        <f>INDEX(NORMATIVOS!$C$207:$XFD$207,1,MATCH($B$3,NORMATIVOS!$C$1:$XFD$1,0))</f>
        <v>Consolidado</v>
      </c>
    </row>
    <row r="224" spans="1:3">
      <c r="A224" t="s">
        <v>220</v>
      </c>
      <c r="B224" t="s">
        <v>357</v>
      </c>
      <c r="C224" t="str">
        <f>INDEX(NORMATIVOS!$C$208:$XFD$208,1,MATCH($B$3,NORMATIVOS!$C$1:$XFD$1,0))</f>
        <v>Consolidado</v>
      </c>
    </row>
    <row r="225" spans="1:3">
      <c r="A225" t="s">
        <v>220</v>
      </c>
      <c r="B225" t="s">
        <v>232</v>
      </c>
      <c r="C225" t="str">
        <f>INDEX(NORMATIVOS!$C$209:$XFD$209,1,MATCH($B$3,NORMATIVOS!$C$1:$XFD$1,0))</f>
        <v>Consolidado</v>
      </c>
    </row>
    <row r="226" spans="1:3">
      <c r="A226" t="s">
        <v>220</v>
      </c>
      <c r="B226" t="s">
        <v>233</v>
      </c>
      <c r="C226" t="str">
        <f>INDEX(NORMATIVOS!$C$210:$XFD$210,1,MATCH($B$3,NORMATIVOS!$C$1:$XFD$1,0))</f>
        <v>En proceso</v>
      </c>
    </row>
    <row r="227" spans="1:3">
      <c r="A227" t="s">
        <v>220</v>
      </c>
      <c r="B227" t="s">
        <v>234</v>
      </c>
      <c r="C227" t="str">
        <f>INDEX(NORMATIVOS!$C$211:$XFD$211,1,MATCH($B$3,NORMATIVOS!$C$1:$XFD$1,0))</f>
        <v>Consolidado</v>
      </c>
    </row>
    <row r="228" spans="1:3">
      <c r="A228" t="s">
        <v>220</v>
      </c>
      <c r="B228" t="s">
        <v>235</v>
      </c>
      <c r="C228" t="str">
        <f>INDEX(NORMATIVOS!$C$212:$XFD$212,1,MATCH($B$3,NORMATIVOS!$C$1:$XFD$1,0))</f>
        <v>Consolidado</v>
      </c>
    </row>
    <row r="229" spans="1:3">
      <c r="A229" t="s">
        <v>220</v>
      </c>
      <c r="B229" t="s">
        <v>341</v>
      </c>
      <c r="C229" t="str">
        <f>INDEX(NORMATIVOS!$C$213:$XFD$213,1,MATCH($B$3,NORMATIVOS!$C$1:$XFD$1,0))</f>
        <v>Consolidado</v>
      </c>
    </row>
    <row r="230" spans="1:3">
      <c r="A230" t="s">
        <v>220</v>
      </c>
      <c r="B230" t="s">
        <v>237</v>
      </c>
      <c r="C230" t="str">
        <f>INDEX(NORMATIVOS!$C$214:$XFD$214,1,MATCH($B$3,NORMATIVOS!$C$1:$XFD$1,0))</f>
        <v>N/A</v>
      </c>
    </row>
    <row r="231" spans="1:3">
      <c r="A231" t="s">
        <v>220</v>
      </c>
      <c r="B231" t="s">
        <v>238</v>
      </c>
      <c r="C231" t="str">
        <f>INDEX(NORMATIVOS!$C$215:$XFD$215,1,MATCH($B$3,NORMATIVOS!$C$1:$XFD$1,0))</f>
        <v>En proceso</v>
      </c>
    </row>
    <row r="232" spans="1:3">
      <c r="A232" t="s">
        <v>220</v>
      </c>
      <c r="B232" t="s">
        <v>239</v>
      </c>
      <c r="C232" t="str">
        <f>INDEX(NORMATIVOS!$C$216:$XFD$216,1,MATCH($B$3,NORMATIVOS!$C$1:$XFD$1,0))</f>
        <v>Proyección</v>
      </c>
    </row>
    <row r="233" spans="1:3">
      <c r="A233" t="s">
        <v>220</v>
      </c>
      <c r="B233" t="s">
        <v>240</v>
      </c>
      <c r="C233" t="str">
        <f>INDEX(NORMATIVOS!$C$217:$XFD$217,1,MATCH($B$3,NORMATIVOS!$C$1:$XFD$1,0))</f>
        <v>En proceso</v>
      </c>
    </row>
    <row r="234" spans="1:3">
      <c r="A234" t="s">
        <v>220</v>
      </c>
      <c r="B234" t="s">
        <v>241</v>
      </c>
      <c r="C234" t="str">
        <f>INDEX(NORMATIVOS!$C$218:$XFD$218,1,MATCH($B$3,NORMATIVOS!$C$1:$XFD$1,0))</f>
        <v>Proyección</v>
      </c>
    </row>
    <row r="235" spans="1:3">
      <c r="A235" t="s">
        <v>242</v>
      </c>
      <c r="B235" t="s">
        <v>204</v>
      </c>
      <c r="C235" t="str">
        <f>INDEX(NORMATIVOS!$C$219:$XFD$219,1,MATCH($B$3,NORMATIVOS!$C$1:$XFD$1,0))</f>
        <v>Consolidado</v>
      </c>
    </row>
    <row r="236" spans="1:3">
      <c r="A236" t="s">
        <v>242</v>
      </c>
      <c r="B236" t="s">
        <v>337</v>
      </c>
      <c r="C236" t="str">
        <f>INDEX(NORMATIVOS!$C$220:$XFD$220,1,MATCH($B$3,NORMATIVOS!$C$1:$XFD$1,0))</f>
        <v>Consolidado</v>
      </c>
    </row>
    <row r="237" spans="1:3">
      <c r="A237" t="s">
        <v>242</v>
      </c>
      <c r="B237" t="s">
        <v>338</v>
      </c>
      <c r="C237" t="str">
        <f>INDEX(NORMATIVOS!$C$221:$XFD$221,1,MATCH($B$3,NORMATIVOS!$C$1:$XFD$1,0))</f>
        <v>Consolidado</v>
      </c>
    </row>
    <row r="238" spans="1:3">
      <c r="A238" t="s">
        <v>242</v>
      </c>
      <c r="B238" t="s">
        <v>161</v>
      </c>
      <c r="C238" t="str">
        <f>INDEX(NORMATIVOS!$C$222:$XFD$222,1,MATCH($B$3,NORMATIVOS!$C$1:$XFD$1,0))</f>
        <v>Consolidado</v>
      </c>
    </row>
    <row r="239" spans="1:3">
      <c r="A239" t="s">
        <v>242</v>
      </c>
      <c r="B239" t="s">
        <v>243</v>
      </c>
      <c r="C239" t="str">
        <f>INDEX(NORMATIVOS!$C$223:$XFD$223,1,MATCH($B$3,NORMATIVOS!$C$1:$XFD$1,0))</f>
        <v>Consolidado</v>
      </c>
    </row>
    <row r="240" spans="1:3">
      <c r="A240" t="s">
        <v>242</v>
      </c>
      <c r="B240" t="s">
        <v>244</v>
      </c>
      <c r="C240" t="str">
        <f>INDEX(NORMATIVOS!$C$224:$XFD$224,1,MATCH($B$3,NORMATIVOS!$C$1:$XFD$1,0))</f>
        <v>Consolidado</v>
      </c>
    </row>
    <row r="241" spans="1:3">
      <c r="A241" t="s">
        <v>242</v>
      </c>
      <c r="B241" t="s">
        <v>245</v>
      </c>
      <c r="C241" t="str">
        <f>INDEX(NORMATIVOS!$C$225:$XFD$225,1,MATCH($B$3,NORMATIVOS!$C$1:$XFD$1,0))</f>
        <v>N/A</v>
      </c>
    </row>
    <row r="242" spans="1:3">
      <c r="A242" t="s">
        <v>242</v>
      </c>
      <c r="B242" t="s">
        <v>246</v>
      </c>
      <c r="C242" t="str">
        <f>INDEX(NORMATIVOS!$C$226:$XFD$226,1,MATCH($B$3,NORMATIVOS!$C$1:$XFD$1,0))</f>
        <v>N/A</v>
      </c>
    </row>
    <row r="243" spans="1:3">
      <c r="A243" t="s">
        <v>242</v>
      </c>
      <c r="B243" t="s">
        <v>342</v>
      </c>
      <c r="C243" t="str">
        <f>INDEX(NORMATIVOS!$C$227:$XFD$227,1,MATCH($B$3,NORMATIVOS!$C$1:$XFD$1,0))</f>
        <v>Proyección</v>
      </c>
    </row>
    <row r="244" spans="1:3">
      <c r="A244" t="s">
        <v>242</v>
      </c>
      <c r="B244" t="s">
        <v>248</v>
      </c>
      <c r="C244" t="str">
        <f>INDEX(NORMATIVOS!$C$228:$XFD$228,1,MATCH($B$3,NORMATIVOS!$C$1:$XFD$1,0))</f>
        <v>Proyección</v>
      </c>
    </row>
    <row r="245" spans="1:3">
      <c r="A245" t="s">
        <v>242</v>
      </c>
      <c r="B245" t="s">
        <v>249</v>
      </c>
      <c r="C245" t="str">
        <f>INDEX(NORMATIVOS!$C$229:$XFD$229,1,MATCH($B$3,NORMATIVOS!$C$1:$XFD$1,0))</f>
        <v>En proceso</v>
      </c>
    </row>
    <row r="246" spans="1:3">
      <c r="A246" t="s">
        <v>242</v>
      </c>
      <c r="B246" t="s">
        <v>250</v>
      </c>
      <c r="C246" t="str">
        <f>INDEX(NORMATIVOS!$C$230:$XFD$230,1,MATCH($B$3,NORMATIVOS!$C$1:$XFD$1,0))</f>
        <v>Consolidado</v>
      </c>
    </row>
    <row r="247" spans="1:3">
      <c r="A247" t="s">
        <v>242</v>
      </c>
      <c r="B247" t="s">
        <v>343</v>
      </c>
      <c r="C247" t="str">
        <f>INDEX(NORMATIVOS!$C$231:$XFD$231,1,MATCH($B$3,NORMATIVOS!$C$1:$XFD$1,0))</f>
        <v>Proyección</v>
      </c>
    </row>
    <row r="248" spans="1:3">
      <c r="A248" t="s">
        <v>253</v>
      </c>
      <c r="B248" t="s">
        <v>254</v>
      </c>
      <c r="C248" t="str">
        <f>INDEX(NORMATIVOS!$C$234:$XFD$234,1,MATCH($B$3,NORMATIVOS!$C$1:$XFD$1,0))</f>
        <v>Consolidado</v>
      </c>
    </row>
    <row r="249" spans="1:3">
      <c r="A249" t="s">
        <v>253</v>
      </c>
      <c r="B249" t="s">
        <v>255</v>
      </c>
      <c r="C249" t="str">
        <f>INDEX(NORMATIVOS!$C$235:$XFD$235,1,MATCH($B$3,NORMATIVOS!$C$1:$XFD$1,0))</f>
        <v>Consolidado</v>
      </c>
    </row>
    <row r="250" spans="1:3">
      <c r="A250" t="s">
        <v>253</v>
      </c>
      <c r="B250" t="s">
        <v>151</v>
      </c>
      <c r="C250" t="str">
        <f>INDEX(NORMATIVOS!$C$236:$XFD$236,1,MATCH($B$3,NORMATIVOS!$C$1:$XFD$1,0))</f>
        <v>Consolidado</v>
      </c>
    </row>
    <row r="251" spans="1:3">
      <c r="A251" t="s">
        <v>253</v>
      </c>
      <c r="B251" t="s">
        <v>330</v>
      </c>
      <c r="C251" t="str">
        <f>INDEX(NORMATIVOS!$C$237:$XFD$237,1,MATCH($B$3,NORMATIVOS!$C$1:$XFD$1,0))</f>
        <v>Consolidado</v>
      </c>
    </row>
    <row r="252" spans="1:3">
      <c r="A252" t="s">
        <v>253</v>
      </c>
      <c r="B252" t="s">
        <v>256</v>
      </c>
      <c r="C252" t="str">
        <f>INDEX(NORMATIVOS!$C$238:$XFD$238,1,MATCH($B$3,NORMATIVOS!$C$1:$XFD$1,0))</f>
        <v>Consolidado</v>
      </c>
    </row>
    <row r="253" spans="1:3">
      <c r="A253" t="s">
        <v>253</v>
      </c>
      <c r="B253" t="s">
        <v>257</v>
      </c>
      <c r="C253" t="str">
        <f>INDEX(NORMATIVOS!$C$239:$XFD$239,1,MATCH($B$3,NORMATIVOS!$C$1:$XFD$1,0))</f>
        <v>Consolidado</v>
      </c>
    </row>
    <row r="254" spans="1:3">
      <c r="A254" t="s">
        <v>253</v>
      </c>
      <c r="B254" t="s">
        <v>258</v>
      </c>
      <c r="C254" t="str">
        <f>INDEX(NORMATIVOS!$C$240:$XFD$240,1,MATCH($B$3,NORMATIVOS!$C$1:$XFD$1,0))</f>
        <v>Consolidado</v>
      </c>
    </row>
    <row r="255" spans="1:3">
      <c r="A255" t="s">
        <v>253</v>
      </c>
      <c r="B255" t="s">
        <v>259</v>
      </c>
      <c r="C255" t="str">
        <f>INDEX(NORMATIVOS!$C$241:$XFD$241,1,MATCH($B$3,NORMATIVOS!$C$1:$XFD$1,0))</f>
        <v>Consolidado</v>
      </c>
    </row>
    <row r="256" spans="1:3">
      <c r="A256" t="s">
        <v>253</v>
      </c>
      <c r="B256" t="s">
        <v>260</v>
      </c>
      <c r="C256" t="str">
        <f>INDEX(NORMATIVOS!$C$242:$XFD$242,1,MATCH($B$3,NORMATIVOS!$C$1:$XFD$1,0))</f>
        <v>Consolidado</v>
      </c>
    </row>
    <row r="257" spans="1:3">
      <c r="A257" t="s">
        <v>253</v>
      </c>
      <c r="B257" t="s">
        <v>165</v>
      </c>
      <c r="C257" t="str">
        <f>INDEX(NORMATIVOS!$C$243:$XFD$243,1,MATCH($B$3,NORMATIVOS!$C$1:$XFD$1,0))</f>
        <v>Consolidado</v>
      </c>
    </row>
    <row r="258" spans="1:3">
      <c r="A258" t="s">
        <v>253</v>
      </c>
      <c r="B258" t="s">
        <v>164</v>
      </c>
      <c r="C258" t="str">
        <f>INDEX(NORMATIVOS!$C$244:$XFD$244,1,MATCH($B$3,NORMATIVOS!$C$1:$XFD$1,0))</f>
        <v>Consolidado</v>
      </c>
    </row>
    <row r="259" spans="1:3">
      <c r="A259" t="s">
        <v>253</v>
      </c>
      <c r="B259" t="s">
        <v>262</v>
      </c>
      <c r="C259" t="str">
        <f>INDEX(NORMATIVOS!$C$245:$XFD$245,1,MATCH($B$3,NORMATIVOS!$C$1:$XFD$1,0))</f>
        <v>Consolidado</v>
      </c>
    </row>
    <row r="260" spans="1:3">
      <c r="A260" t="s">
        <v>253</v>
      </c>
      <c r="B260" t="s">
        <v>228</v>
      </c>
      <c r="C260" t="str">
        <f>INDEX(NORMATIVOS!$C$246:$XFD$246,1,MATCH($B$3,NORMATIVOS!$C$1:$XFD$1,0))</f>
        <v>Consolidado</v>
      </c>
    </row>
    <row r="261" spans="1:3">
      <c r="A261" t="s">
        <v>253</v>
      </c>
      <c r="B261" t="s">
        <v>263</v>
      </c>
      <c r="C261" t="str">
        <f>INDEX(NORMATIVOS!$C$247:$XFD$247,1,MATCH($B$3,NORMATIVOS!$C$1:$XFD$1,0))</f>
        <v>Consolidado</v>
      </c>
    </row>
    <row r="262" spans="1:3">
      <c r="A262" t="s">
        <v>253</v>
      </c>
      <c r="B262" t="s">
        <v>264</v>
      </c>
      <c r="C262" t="str">
        <f>INDEX(NORMATIVOS!$C$248:$XFD$248,1,MATCH($B$3,NORMATIVOS!$C$1:$XFD$1,0))</f>
        <v>Consolidado</v>
      </c>
    </row>
    <row r="263" spans="1:3">
      <c r="A263" t="s">
        <v>253</v>
      </c>
      <c r="B263" t="s">
        <v>265</v>
      </c>
      <c r="C263" t="str">
        <f>INDEX(NORMATIVOS!$C$249:$XFD$249,1,MATCH($B$3,NORMATIVOS!$C$1:$XFD$1,0))</f>
        <v>Consolidado</v>
      </c>
    </row>
    <row r="264" spans="1:3">
      <c r="A264" t="s">
        <v>253</v>
      </c>
      <c r="B264" t="s">
        <v>266</v>
      </c>
      <c r="C264" t="str">
        <f>INDEX(NORMATIVOS!$C$250:$XFD$250,1,MATCH($B$3,NORMATIVOS!$C$1:$XFD$1,0))</f>
        <v>Consolidado</v>
      </c>
    </row>
    <row r="265" spans="1:3">
      <c r="A265" t="s">
        <v>253</v>
      </c>
      <c r="B265" t="s">
        <v>267</v>
      </c>
      <c r="C265" t="str">
        <f>INDEX(NORMATIVOS!$C$251:$XFD$251,1,MATCH($B$3,NORMATIVOS!$C$1:$XFD$1,0))</f>
        <v>N/A</v>
      </c>
    </row>
    <row r="266" spans="1:3">
      <c r="A266" t="s">
        <v>253</v>
      </c>
      <c r="B266" t="s">
        <v>268</v>
      </c>
      <c r="C266" t="str">
        <f>INDEX(NORMATIVOS!$C$252:$XFD$252,1,MATCH($B$3,NORMATIVOS!$C$1:$XFD$1,0))</f>
        <v>En proceso</v>
      </c>
    </row>
    <row r="267" spans="1:3">
      <c r="A267" t="s">
        <v>253</v>
      </c>
      <c r="B267" t="s">
        <v>269</v>
      </c>
      <c r="C267" t="str">
        <f>INDEX(NORMATIVOS!$C$253:$XFD$253,1,MATCH($B$3,NORMATIVOS!$C$1:$XFD$1,0))</f>
        <v>N/A</v>
      </c>
    </row>
    <row r="268" spans="1:3">
      <c r="A268" t="s">
        <v>253</v>
      </c>
      <c r="B268" t="s">
        <v>270</v>
      </c>
      <c r="C268" t="str">
        <f>INDEX(NORMATIVOS!$C$254:$XFD$254,1,MATCH($B$3,NORMATIVOS!$C$1:$XFD$1,0))</f>
        <v>Proyección</v>
      </c>
    </row>
    <row r="269" spans="1:3">
      <c r="A269" t="s">
        <v>253</v>
      </c>
      <c r="B269" t="s">
        <v>271</v>
      </c>
      <c r="C269" t="str">
        <f>INDEX(NORMATIVOS!$C$255:$XFD$255,1,MATCH($B$3,NORMATIVOS!$C$1:$XFD$1,0))</f>
        <v>Proyección</v>
      </c>
    </row>
    <row r="270" spans="1:3">
      <c r="A270" t="s">
        <v>253</v>
      </c>
      <c r="B270" t="s">
        <v>272</v>
      </c>
      <c r="C270" t="str">
        <f>INDEX(NORMATIVOS!$C$256:$XFD$256,1,MATCH($B$3,NORMATIVOS!$C$1:$XFD$1,0))</f>
        <v>Proyección</v>
      </c>
    </row>
    <row r="271" spans="1:3">
      <c r="A271" t="s">
        <v>253</v>
      </c>
      <c r="B271" t="s">
        <v>273</v>
      </c>
      <c r="C271" t="str">
        <f>INDEX(NORMATIVOS!$C$257:$XFD$257,1,MATCH($B$3,NORMATIVOS!$C$1:$XFD$1,0))</f>
        <v>Consolidado</v>
      </c>
    </row>
    <row r="272" spans="1:3">
      <c r="A272" t="s">
        <v>253</v>
      </c>
      <c r="B272" t="s">
        <v>274</v>
      </c>
      <c r="C272" t="str">
        <f>INDEX(NORMATIVOS!$C$258:$XFD$258,1,MATCH($B$3,NORMATIVOS!$C$1:$XFD$1,0))</f>
        <v>Proyección</v>
      </c>
    </row>
    <row r="273" spans="1:3">
      <c r="A273" t="s">
        <v>253</v>
      </c>
      <c r="B273" t="s">
        <v>275</v>
      </c>
      <c r="C273" t="str">
        <f>INDEX(NORMATIVOS!$C$259:$XFD$259,1,MATCH($B$3,NORMATIVOS!$C$1:$XFD$1,0))</f>
        <v>Consolidado</v>
      </c>
    </row>
    <row r="274" spans="1:3">
      <c r="A274" t="s">
        <v>253</v>
      </c>
      <c r="B274" t="s">
        <v>276</v>
      </c>
      <c r="C274" t="str">
        <f>INDEX(NORMATIVOS!$C$260:$XFD$260,1,MATCH($B$3,NORMATIVOS!$C$1:$XFD$1,0))</f>
        <v>Consolidado</v>
      </c>
    </row>
    <row r="275" spans="1:3">
      <c r="A275" t="s">
        <v>253</v>
      </c>
      <c r="B275" t="s">
        <v>277</v>
      </c>
      <c r="C275" t="str">
        <f>INDEX(NORMATIVOS!$C$261:$XFD$261,1,MATCH($B$3,NORMATIVOS!$C$1:$XFD$1,0))</f>
        <v>Proyección</v>
      </c>
    </row>
    <row r="276" spans="1:3">
      <c r="A276" t="s">
        <v>278</v>
      </c>
      <c r="B276" t="s">
        <v>344</v>
      </c>
      <c r="C276" t="str">
        <f>INDEX(NORMATIVOS!$C$262:$XFD$262,1,MATCH($B$3,NORMATIVOS!$C$1:$XFD$1,0))</f>
        <v>Consolidado</v>
      </c>
    </row>
    <row r="277" spans="1:3">
      <c r="A277" t="s">
        <v>278</v>
      </c>
      <c r="B277" t="s">
        <v>280</v>
      </c>
      <c r="C277" t="str">
        <f>INDEX(NORMATIVOS!$C$263:$XFD$263,1,MATCH($B$3,NORMATIVOS!$C$1:$XFD$1,0))</f>
        <v>Consolidado</v>
      </c>
    </row>
    <row r="278" spans="1:3">
      <c r="A278" t="s">
        <v>278</v>
      </c>
      <c r="B278" t="s">
        <v>345</v>
      </c>
      <c r="C278" t="str">
        <f>INDEX(NORMATIVOS!$C$264:$XFD$264,1,MATCH($B$3,NORMATIVOS!$C$1:$XFD$1,0))</f>
        <v>Consolidado</v>
      </c>
    </row>
    <row r="279" spans="1:3">
      <c r="A279" t="s">
        <v>278</v>
      </c>
      <c r="B279" t="s">
        <v>358</v>
      </c>
      <c r="C279" t="str">
        <f>INDEX(NORMATIVOS!$C$265:$XFD$265,1,MATCH($B$3,NORMATIVOS!$C$1:$XFD$1,0))</f>
        <v>Consolidado</v>
      </c>
    </row>
    <row r="280" spans="1:3">
      <c r="A280" t="s">
        <v>278</v>
      </c>
      <c r="B280" t="s">
        <v>282</v>
      </c>
      <c r="C280" t="str">
        <f>INDEX(NORMATIVOS!$C$266:$XFD$266,1,MATCH($B$3,NORMATIVOS!$C$1:$XFD$1,0))</f>
        <v>Consolidado</v>
      </c>
    </row>
    <row r="281" spans="1:3">
      <c r="A281" t="s">
        <v>278</v>
      </c>
      <c r="B281" t="s">
        <v>283</v>
      </c>
      <c r="C281" t="str">
        <f>INDEX(NORMATIVOS!$C$267:$XFD$267,1,MATCH($B$3,NORMATIVOS!$C$1:$XFD$1,0))</f>
        <v>Consolidado</v>
      </c>
    </row>
    <row r="282" spans="1:3">
      <c r="A282" t="s">
        <v>278</v>
      </c>
      <c r="B282" t="s">
        <v>346</v>
      </c>
      <c r="C282" t="str">
        <f>INDEX(NORMATIVOS!$C$268:$XFD$268,1,MATCH($B$3,NORMATIVOS!$C$1:$XFD$1,0))</f>
        <v>Consolidado</v>
      </c>
    </row>
    <row r="283" spans="1:3">
      <c r="A283" t="s">
        <v>278</v>
      </c>
      <c r="B283" t="s">
        <v>285</v>
      </c>
      <c r="C283" t="str">
        <f>INDEX(NORMATIVOS!$C$269:$XFD$269,1,MATCH($B$3,NORMATIVOS!$C$1:$XFD$1,0))</f>
        <v>Consolidado</v>
      </c>
    </row>
    <row r="284" spans="1:3">
      <c r="A284" t="s">
        <v>278</v>
      </c>
      <c r="B284" t="s">
        <v>286</v>
      </c>
      <c r="C284" t="str">
        <f>INDEX(NORMATIVOS!$C$270:$XFD$270,1,MATCH($B$3,NORMATIVOS!$C$1:$XFD$1,0))</f>
        <v>Consolidado</v>
      </c>
    </row>
    <row r="285" spans="1:3">
      <c r="A285" t="s">
        <v>278</v>
      </c>
      <c r="B285" t="s">
        <v>347</v>
      </c>
      <c r="C285" t="str">
        <f>INDEX(NORMATIVOS!$C$271:$XFD$271,1,MATCH($B$3,NORMATIVOS!$C$1:$XFD$1,0))</f>
        <v>Consolidado</v>
      </c>
    </row>
    <row r="286" spans="1:3">
      <c r="A286" t="s">
        <v>278</v>
      </c>
      <c r="B286" t="s">
        <v>288</v>
      </c>
      <c r="C286" t="str">
        <f>INDEX(NORMATIVOS!$C$272:$XFD$272,1,MATCH($B$3,NORMATIVOS!$C$1:$XFD$1,0))</f>
        <v>Consolidado</v>
      </c>
    </row>
    <row r="287" spans="1:3">
      <c r="A287" t="s">
        <v>278</v>
      </c>
      <c r="B287" t="s">
        <v>289</v>
      </c>
      <c r="C287" t="str">
        <f>INDEX(NORMATIVOS!$C$273:$XFD$273,1,MATCH($B$3,NORMATIVOS!$C$1:$XFD$1,0))</f>
        <v>Consolidado</v>
      </c>
    </row>
    <row r="288" spans="1:3">
      <c r="A288" t="s">
        <v>278</v>
      </c>
      <c r="B288" t="s">
        <v>290</v>
      </c>
      <c r="C288" t="str">
        <f>INDEX(NORMATIVOS!$C$274:$XFD$274,1,MATCH($B$3,NORMATIVOS!$C$1:$XFD$1,0))</f>
        <v>Proyección</v>
      </c>
    </row>
    <row r="289" spans="1:3">
      <c r="A289" t="s">
        <v>278</v>
      </c>
      <c r="B289" t="s">
        <v>291</v>
      </c>
      <c r="C289" t="str">
        <f>INDEX(NORMATIVOS!$C$275:$XFD$275,1,MATCH($B$3,NORMATIVOS!$C$1:$XFD$1,0))</f>
        <v>Consolidado</v>
      </c>
    </row>
    <row r="290" spans="1:3">
      <c r="A290" t="s">
        <v>278</v>
      </c>
      <c r="B290" t="s">
        <v>292</v>
      </c>
      <c r="C290" t="str">
        <f>INDEX(NORMATIVOS!$C$276:$XFD$276,1,MATCH($B$3,NORMATIVOS!$C$1:$XFD$1,0))</f>
        <v>Consolidado</v>
      </c>
    </row>
    <row r="291" spans="1:3">
      <c r="A291" t="s">
        <v>278</v>
      </c>
      <c r="B291" t="s">
        <v>293</v>
      </c>
      <c r="C291" t="str">
        <f>INDEX(NORMATIVOS!$C$277:$XFD$277,1,MATCH($B$3,NORMATIVOS!$C$1:$XFD$1,0))</f>
        <v>Consolidado</v>
      </c>
    </row>
    <row r="292" spans="1:3">
      <c r="A292" t="s">
        <v>278</v>
      </c>
      <c r="B292" t="s">
        <v>294</v>
      </c>
      <c r="C292" t="str">
        <f>INDEX(NORMATIVOS!$C$278:$XFD$278,1,MATCH($B$3,NORMATIVOS!$C$1:$XFD$1,0))</f>
        <v>Proyección</v>
      </c>
    </row>
    <row r="293" spans="1:3">
      <c r="A293" t="s">
        <v>278</v>
      </c>
      <c r="B293" t="s">
        <v>295</v>
      </c>
      <c r="C293" t="str">
        <f>INDEX(NORMATIVOS!$C$279:$XFD$279,1,MATCH($B$3,NORMATIVOS!$C$1:$XFD$1,0))</f>
        <v>Proyección</v>
      </c>
    </row>
  </sheetData>
  <mergeCells count="2">
    <mergeCell ref="A25:C25"/>
    <mergeCell ref="A1:H1"/>
  </mergeCells>
  <conditionalFormatting sqref="C27:C293">
    <cfRule type="expression" dxfId="8" priority="1">
      <formula>C27="Consolidado"</formula>
    </cfRule>
    <cfRule type="expression" dxfId="7" priority="2">
      <formula>C27="En proceso"</formula>
    </cfRule>
    <cfRule type="expression" dxfId="6" priority="3">
      <formula>C27="Proyección"</formula>
    </cfRule>
    <cfRule type="expression" dxfId="5" priority="4">
      <formula>C27="N/A"</formula>
    </cfRule>
  </conditionalFormatting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CONSOLIDADO!$A$4:$A$1048576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7"/>
  <sheetViews>
    <sheetView showGridLines="0" zoomScale="90" workbookViewId="0">
      <selection sqref="A1:H1"/>
    </sheetView>
  </sheetViews>
  <sheetFormatPr baseColWidth="10" defaultColWidth="8.85546875" defaultRowHeight="15"/>
  <cols>
    <col min="1" max="1" width="32" customWidth="1"/>
    <col min="2" max="2" width="18" customWidth="1"/>
    <col min="3" max="3" width="5" customWidth="1"/>
    <col min="4" max="4" width="20" customWidth="1"/>
    <col min="5" max="5" width="14" customWidth="1"/>
    <col min="6" max="8" width="4" customWidth="1"/>
  </cols>
  <sheetData>
    <row r="1" spans="1:8" ht="21">
      <c r="A1" s="137" t="s">
        <v>348</v>
      </c>
      <c r="B1" s="130"/>
      <c r="C1" s="130"/>
      <c r="D1" s="130"/>
      <c r="E1" s="130"/>
      <c r="F1" s="130"/>
      <c r="G1" s="130"/>
      <c r="H1" s="130"/>
    </row>
    <row r="3" spans="1:8" ht="18.75">
      <c r="A3" s="12" t="s">
        <v>349</v>
      </c>
      <c r="B3" s="14">
        <f>COUNTA(CONSOLIDADO!A4:A1048576)</f>
        <v>30</v>
      </c>
      <c r="D3" s="11" t="s">
        <v>321</v>
      </c>
      <c r="E3" s="11" t="s">
        <v>350</v>
      </c>
    </row>
    <row r="4" spans="1:8" ht="18.75">
      <c r="A4" s="12" t="s">
        <v>351</v>
      </c>
      <c r="B4" s="15">
        <f>AVERAGE(CONSOLIDADO!G4:G1048576)</f>
        <v>0.39575530586766544</v>
      </c>
      <c r="D4" t="s">
        <v>299</v>
      </c>
      <c r="E4">
        <f>SUM(CONSOLIDADO!F4:F1048576)</f>
        <v>97</v>
      </c>
    </row>
    <row r="5" spans="1:8" ht="18.75">
      <c r="A5" s="12" t="s">
        <v>352</v>
      </c>
      <c r="B5" s="14">
        <f>SUM(CONSOLIDADO!C4:C1048576)</f>
        <v>3170</v>
      </c>
      <c r="D5" t="s">
        <v>34</v>
      </c>
      <c r="E5">
        <f>SUM(CONSOLIDADO!E4:E1048576)</f>
        <v>3677</v>
      </c>
    </row>
    <row r="6" spans="1:8" ht="18.75">
      <c r="A6" s="12" t="s">
        <v>353</v>
      </c>
      <c r="B6" s="14">
        <f>SUM(CONSOLIDADO!D4:D1048576)</f>
        <v>1066</v>
      </c>
      <c r="D6" t="s">
        <v>303</v>
      </c>
      <c r="E6">
        <f>SUM(CONSOLIDADO!D4:D1048576)</f>
        <v>1066</v>
      </c>
    </row>
    <row r="7" spans="1:8">
      <c r="D7" t="s">
        <v>33</v>
      </c>
      <c r="E7">
        <f>SUM(CONSOLIDADO!C4:C1048576)</f>
        <v>3170</v>
      </c>
    </row>
    <row r="10" spans="1:8">
      <c r="A10" s="136" t="s">
        <v>354</v>
      </c>
      <c r="B10" s="130"/>
    </row>
    <row r="11" spans="1:8">
      <c r="A11" s="10" t="s">
        <v>318</v>
      </c>
      <c r="B11" s="10" t="s">
        <v>313</v>
      </c>
    </row>
    <row r="12" spans="1:8">
      <c r="A12" t="s">
        <v>31</v>
      </c>
      <c r="B12" s="13">
        <f>'FICHA DEL ATLETA'!H6</f>
        <v>1.0</v>
      </c>
    </row>
    <row r="13" spans="1:8">
      <c r="A13" t="s">
        <v>301</v>
      </c>
      <c r="B13" s="13">
        <f>'FICHA DEL ATLETA'!H7</f>
        <v>1.0</v>
      </c>
    </row>
    <row r="14" spans="1:8">
      <c r="A14" t="s">
        <v>304</v>
      </c>
      <c r="B14" s="13">
        <f>'FICHA DEL ATLETA'!H8</f>
        <v>1.0</v>
      </c>
    </row>
    <row r="15" spans="1:8">
      <c r="A15" t="s">
        <v>306</v>
      </c>
      <c r="B15" s="13">
        <f>'FICHA DEL ATLETA'!H9</f>
        <v>1.0</v>
      </c>
    </row>
    <row r="16" spans="1:8">
      <c r="A16" t="s">
        <v>82</v>
      </c>
      <c r="B16" s="13">
        <f>'FICHA DEL ATLETA'!H10</f>
        <v>1.0</v>
      </c>
    </row>
    <row r="17" spans="1:2">
      <c r="A17" t="s">
        <v>99</v>
      </c>
      <c r="B17" s="13">
        <f>'FICHA DEL ATLETA'!H11</f>
        <v>1.0</v>
      </c>
    </row>
    <row r="18" spans="1:2">
      <c r="A18" t="s">
        <v>109</v>
      </c>
      <c r="B18" s="13">
        <f>'FICHA DEL ATLETA'!H12</f>
        <v>0.8888888888888888</v>
      </c>
    </row>
    <row r="19" spans="1:2">
      <c r="A19" t="s">
        <v>135</v>
      </c>
      <c r="B19" s="13">
        <f>'FICHA DEL ATLETA'!H13</f>
        <v>0.8</v>
      </c>
    </row>
    <row r="20" spans="1:2">
      <c r="A20" t="s">
        <v>150</v>
      </c>
      <c r="B20" s="13">
        <f>'FICHA DEL ATLETA'!H14</f>
        <v>0.9</v>
      </c>
    </row>
    <row r="21" spans="1:2">
      <c r="A21" t="s">
        <v>172</v>
      </c>
      <c r="B21" s="13">
        <f>'FICHA DEL ATLETA'!H15</f>
        <v>1.0</v>
      </c>
    </row>
    <row r="22" spans="1:2">
      <c r="A22" t="s">
        <v>180</v>
      </c>
      <c r="B22" s="13">
        <f>'FICHA DEL ATLETA'!H16</f>
        <v>0.6363636363636364</v>
      </c>
    </row>
    <row r="23" spans="1:2">
      <c r="A23" t="s">
        <v>308</v>
      </c>
      <c r="B23" s="13">
        <f>'FICHA DEL ATLETA'!H17</f>
        <v>0.9444444444444444</v>
      </c>
    </row>
    <row r="24" spans="1:2">
      <c r="A24" t="s">
        <v>220</v>
      </c>
      <c r="B24" s="13">
        <f>'FICHA DEL ATLETA'!H18</f>
        <v>0.76</v>
      </c>
    </row>
    <row r="25" spans="1:2">
      <c r="A25" t="s">
        <v>242</v>
      </c>
      <c r="B25" s="13">
        <f>'FICHA DEL ATLETA'!H19</f>
        <v>0.5384615384615384</v>
      </c>
    </row>
    <row r="26" spans="1:2">
      <c r="A26" t="s">
        <v>253</v>
      </c>
      <c r="B26" s="13">
        <f>'FICHA DEL ATLETA'!H20</f>
        <v>0.7142857142857143</v>
      </c>
    </row>
    <row r="27" spans="1:2">
      <c r="A27" t="s">
        <v>278</v>
      </c>
      <c r="B27" s="13">
        <f>'FICHA DEL ATLETA'!H21</f>
        <v>0.8333333333333334</v>
      </c>
    </row>
  </sheetData>
  <mergeCells count="2">
    <mergeCell ref="A10:B10"/>
    <mergeCell ref="A1:H1"/>
  </mergeCells>
  <pageMargins left="0.75" right="0.75" top="1" bottom="1" header="0.5" footer="0.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zoomScale="141" workbookViewId="0">
      <pane xSplit="1" ySplit="3" topLeftCell="B4" activePane="bottomRight" state="frozen"/>
      <selection activeCell="D1" sqref="D1"/>
      <selection pane="topRight" activeCell="B1" sqref="B1"/>
      <selection pane="bottomLeft" activeCell="H9" sqref="H9"/>
      <selection pane="bottomRight" activeCell="J11" sqref="J11"/>
    </sheetView>
  </sheetViews>
  <sheetFormatPr baseColWidth="10" defaultColWidth="8.85546875" defaultRowHeight="15"/>
  <cols>
    <col min="1" max="1" width="17.42578125" style="37" bestFit="1" customWidth="1"/>
    <col min="2" max="2" width="9.7109375" style="33" bestFit="1" customWidth="1"/>
    <col min="3" max="5" width="14" style="33" customWidth="1"/>
    <col min="6" max="6" width="10" style="33" customWidth="1"/>
    <col min="7" max="7" width="13" style="33" customWidth="1"/>
    <col min="8" max="8" width="24" style="33" customWidth="1"/>
    <col min="9" max="16384" width="8.85546875" style="33"/>
  </cols>
  <sheetData>
    <row r="1" spans="1:8" ht="21">
      <c r="A1" s="67" t="s">
        <v>309</v>
      </c>
      <c r="B1" s="68"/>
      <c r="C1" s="68"/>
      <c r="D1" s="68"/>
      <c r="E1" s="68"/>
      <c r="F1" s="68"/>
      <c r="G1" s="68"/>
      <c r="H1" s="68"/>
    </row>
    <row r="2" spans="1:8" ht="15.75" thickBot="1"/>
    <row r="3" spans="1:8" s="34" customFormat="1" ht="33.75" customHeight="1">
      <c r="A3" s="38" t="s">
        <v>310</v>
      </c>
      <c r="B3" s="39" t="s">
        <v>311</v>
      </c>
      <c r="C3" s="39" t="s">
        <v>312</v>
      </c>
      <c r="D3" s="39" t="s">
        <v>303</v>
      </c>
      <c r="E3" s="39" t="s">
        <v>34</v>
      </c>
      <c r="F3" s="39" t="s">
        <v>299</v>
      </c>
      <c r="G3" s="39" t="s">
        <v>313</v>
      </c>
      <c r="H3" s="40" t="s">
        <v>314</v>
      </c>
    </row>
    <row r="4" spans="1:8">
      <c r="A4" s="41" t="s">
        <v>0</v>
      </c>
      <c r="B4" s="35">
        <f>COUNTA(NORMATIVOS!C3:C279)</f>
        <v>267</v>
      </c>
      <c r="C4" s="35">
        <f>COUNTIF(NORMATIVOS!C3:C279,"Consolidado")</f>
        <v>227</v>
      </c>
      <c r="D4" s="35">
        <f>COUNTIF(NORMATIVOS!C3:C279,"En proceso")</f>
        <v>7</v>
      </c>
      <c r="E4" s="35">
        <f>COUNTIF(NORMATIVOS!C3:C279,"Proyección")</f>
        <v>24</v>
      </c>
      <c r="F4" s="35">
        <f>COUNTIF(NORMATIVOS!C3:C279,"N/A")</f>
        <v>9</v>
      </c>
      <c r="G4" s="36">
        <f t="shared" ref="G4:G33" si="0">IFERROR(C4/B4,0)</f>
        <v>0.850187265917603</v>
      </c>
      <c r="H4" s="42" t="str">
        <f>IF(G4&gt;=0.8,"Alto avance",IF(G4&gt;=0.5,"Avance medio",IF(G4&gt;=0.3,"Avance inicial",IF(G4&gt;=0.1,"Base solida","Base inicial"))))</f>
        <v>Alto avance</v>
      </c>
    </row>
    <row r="5" spans="1:8">
      <c r="A5" s="41" t="s">
        <v>1</v>
      </c>
      <c r="B5" s="35">
        <f>COUNTA(NORMATIVOS!D3:D279)</f>
        <v>267</v>
      </c>
      <c r="C5" s="35">
        <f>COUNTIF(NORMATIVOS!D3:D279,"Consolidado")</f>
        <v>209</v>
      </c>
      <c r="D5" s="35">
        <f>COUNTIF(NORMATIVOS!D3:D279,"En proceso")</f>
        <v>7</v>
      </c>
      <c r="E5" s="35">
        <f>COUNTIF(NORMATIVOS!D3:D279,"Proyección")</f>
        <v>41</v>
      </c>
      <c r="F5" s="35">
        <f>COUNTIF(NORMATIVOS!D3:D279,"N/A")</f>
        <v>10</v>
      </c>
      <c r="G5" s="36">
        <f t="shared" si="0"/>
        <v>0.7827715355805244</v>
      </c>
      <c r="H5" s="42" t="str">
        <f t="shared" ref="H5:H33" si="1">IF(G5&gt;=0.8,"Alto avance",IF(G5&gt;=0.5,"Avance medio",IF(G5&gt;=0.3,"Avance inicial",IF(G5&gt;=0.1,"Base solida","Base inicial"))))</f>
        <v>Alto avance</v>
      </c>
    </row>
    <row r="6" spans="1:8">
      <c r="A6" s="41" t="s">
        <v>2</v>
      </c>
      <c r="B6" s="35">
        <f>COUNTA(NORMATIVOS!E3:E279)</f>
        <v>267</v>
      </c>
      <c r="C6" s="35">
        <f>COUNTIF(NORMATIVOS!E3:E279,"Consolidado")</f>
        <v>161</v>
      </c>
      <c r="D6" s="35">
        <f>COUNTIF(NORMATIVOS!E3:E279,"En proceso")</f>
        <v>31</v>
      </c>
      <c r="E6" s="35">
        <f>COUNTIF(NORMATIVOS!E3:E279,"Proyección")</f>
        <v>60</v>
      </c>
      <c r="F6" s="35">
        <f>COUNTIF(NORMATIVOS!E3:E279,"N/A")</f>
        <v>15</v>
      </c>
      <c r="G6" s="36">
        <f t="shared" si="0"/>
        <v>0.602996254681648</v>
      </c>
      <c r="H6" s="42" t="str">
        <f t="shared" si="1"/>
        <v>Avance medio</v>
      </c>
    </row>
    <row r="7" spans="1:8">
      <c r="A7" s="41" t="s">
        <v>3</v>
      </c>
      <c r="B7" s="35">
        <f>COUNTA(NORMATIVOS!F3:F279)</f>
        <v>267</v>
      </c>
      <c r="C7" s="35">
        <f>COUNTIF(NORMATIVOS!F3:F279,"Consolidado")</f>
        <v>173</v>
      </c>
      <c r="D7" s="35">
        <f>COUNTIF(NORMATIVOS!F3:F279,"En proceso")</f>
        <v>29</v>
      </c>
      <c r="E7" s="35">
        <f>COUNTIF(NORMATIVOS!F3:F279,"Proyección")</f>
        <v>55</v>
      </c>
      <c r="F7" s="35">
        <f>COUNTIF(NORMATIVOS!F3:F279,"N/A")</f>
        <v>10</v>
      </c>
      <c r="G7" s="36">
        <f t="shared" si="0"/>
        <v>0.6479400749063671</v>
      </c>
      <c r="H7" s="42" t="str">
        <f t="shared" si="1"/>
        <v>Avance medio</v>
      </c>
    </row>
    <row r="8" spans="1:8">
      <c r="A8" s="41" t="s">
        <v>4</v>
      </c>
      <c r="B8" s="35">
        <f>COUNTA(NORMATIVOS!G3:G279)</f>
        <v>267</v>
      </c>
      <c r="C8" s="35">
        <f>COUNTIF(NORMATIVOS!G3:G279,"Consolidado")</f>
        <v>174</v>
      </c>
      <c r="D8" s="35">
        <f>COUNTIF(NORMATIVOS!G3:G279,"En proceso")</f>
        <v>30</v>
      </c>
      <c r="E8" s="35">
        <f>COUNTIF(NORMATIVOS!G3:G279,"Proyección")</f>
        <v>56</v>
      </c>
      <c r="F8" s="35">
        <f>COUNTIF(NORMATIVOS!G3:G279,"N/A")</f>
        <v>7</v>
      </c>
      <c r="G8" s="36">
        <f t="shared" si="0"/>
        <v>0.651685393258427</v>
      </c>
      <c r="H8" s="42" t="str">
        <f t="shared" si="1"/>
        <v>Avance medio</v>
      </c>
    </row>
    <row r="9" spans="1:8">
      <c r="A9" s="41" t="s">
        <v>5</v>
      </c>
      <c r="B9" s="35">
        <f>COUNTA(NORMATIVOS!H3:H279)</f>
        <v>267</v>
      </c>
      <c r="C9" s="35">
        <f>COUNTIF(NORMATIVOS!H3:H279,"Consolidado")</f>
        <v>159</v>
      </c>
      <c r="D9" s="35">
        <f>COUNTIF(NORMATIVOS!H3:H279,"En proceso")</f>
        <v>36</v>
      </c>
      <c r="E9" s="35">
        <f>COUNTIF(NORMATIVOS!H3:H279,"Proyección")</f>
        <v>65</v>
      </c>
      <c r="F9" s="35">
        <f>COUNTIF(NORMATIVOS!H3:H279,"N/A")</f>
        <v>7</v>
      </c>
      <c r="G9" s="36">
        <f t="shared" si="0"/>
        <v>0.5955056179775281</v>
      </c>
      <c r="H9" s="42" t="str">
        <f t="shared" si="1"/>
        <v>Avance medio</v>
      </c>
    </row>
    <row r="10" spans="1:8">
      <c r="A10" s="41" t="s">
        <v>6</v>
      </c>
      <c r="B10" s="35">
        <f>COUNTA(NORMATIVOS!I3:I279)</f>
        <v>267</v>
      </c>
      <c r="C10" s="35">
        <f>COUNTIF(NORMATIVOS!I3:I279,"Consolidado")</f>
        <v>162</v>
      </c>
      <c r="D10" s="35">
        <f>COUNTIF(NORMATIVOS!I3:I279,"En proceso")</f>
        <v>26</v>
      </c>
      <c r="E10" s="35">
        <f>COUNTIF(NORMATIVOS!I3:I279,"Proyección")</f>
        <v>76</v>
      </c>
      <c r="F10" s="35">
        <f>COUNTIF(NORMATIVOS!I3:I279,"N/A")</f>
        <v>3</v>
      </c>
      <c r="G10" s="36">
        <f t="shared" si="0"/>
        <v>0.6067415730337079</v>
      </c>
      <c r="H10" s="42" t="str">
        <f t="shared" si="1"/>
        <v>Avance medio</v>
      </c>
    </row>
    <row r="11" spans="1:8">
      <c r="A11" s="41" t="s">
        <v>7</v>
      </c>
      <c r="B11" s="35">
        <f>COUNTA(NORMATIVOS!J3:J279)</f>
        <v>267</v>
      </c>
      <c r="C11" s="35">
        <f>COUNTIF(NORMATIVOS!J3:J279,"Consolidado")</f>
        <v>144</v>
      </c>
      <c r="D11" s="35">
        <f>COUNTIF(NORMATIVOS!J3:J279,"En proceso")</f>
        <v>36</v>
      </c>
      <c r="E11" s="35">
        <f>COUNTIF(NORMATIVOS!J3:J279,"Proyección")</f>
        <v>78</v>
      </c>
      <c r="F11" s="35">
        <f>COUNTIF(NORMATIVOS!J3:J279,"N/A")</f>
        <v>9</v>
      </c>
      <c r="G11" s="36">
        <f t="shared" si="0"/>
        <v>0.5393258426966292</v>
      </c>
      <c r="H11" s="42" t="str">
        <f t="shared" si="1"/>
        <v>Avance medio</v>
      </c>
    </row>
    <row r="12" spans="1:8">
      <c r="A12" s="41" t="s">
        <v>8</v>
      </c>
      <c r="B12" s="35">
        <f>COUNTA(NORMATIVOS!K3:K279)</f>
        <v>267</v>
      </c>
      <c r="C12" s="35">
        <f>COUNTIF(NORMATIVOS!K3:K279,"Consolidado")</f>
        <v>147</v>
      </c>
      <c r="D12" s="35">
        <f>COUNTIF(NORMATIVOS!K3:K279,"En proceso")</f>
        <v>31</v>
      </c>
      <c r="E12" s="35">
        <f>COUNTIF(NORMATIVOS!K3:K279,"Proyección")</f>
        <v>79</v>
      </c>
      <c r="F12" s="35">
        <f>COUNTIF(NORMATIVOS!K3:K279,"N/A")</f>
        <v>10</v>
      </c>
      <c r="G12" s="36">
        <f t="shared" si="0"/>
        <v>0.550561797752809</v>
      </c>
      <c r="H12" s="42" t="str">
        <f t="shared" si="1"/>
        <v>Avance medio</v>
      </c>
    </row>
    <row r="13" spans="1:8">
      <c r="A13" s="41" t="s">
        <v>9</v>
      </c>
      <c r="B13" s="35">
        <f>COUNTA(NORMATIVOS!L3:L279)</f>
        <v>267</v>
      </c>
      <c r="C13" s="35">
        <f>COUNTIF(NORMATIVOS!L3:L279,"Consolidado")</f>
        <v>117</v>
      </c>
      <c r="D13" s="35">
        <f>COUNTIF(NORMATIVOS!L3:L279,"En proceso")</f>
        <v>42</v>
      </c>
      <c r="E13" s="35">
        <f>COUNTIF(NORMATIVOS!L3:L279,"Proyección")</f>
        <v>99</v>
      </c>
      <c r="F13" s="35">
        <f>COUNTIF(NORMATIVOS!L3:L279,"N/A")</f>
        <v>9</v>
      </c>
      <c r="G13" s="36">
        <f t="shared" si="0"/>
        <v>0.43820224719101125</v>
      </c>
      <c r="H13" s="42" t="str">
        <f t="shared" si="1"/>
        <v>Avance inicial</v>
      </c>
    </row>
    <row r="14" spans="1:8">
      <c r="A14" s="41" t="s">
        <v>10</v>
      </c>
      <c r="B14" s="35">
        <f>COUNTA(NORMATIVOS!M3:M279)</f>
        <v>267</v>
      </c>
      <c r="C14" s="35">
        <f>COUNTIF(NORMATIVOS!M3:M279,"Consolidado")</f>
        <v>127</v>
      </c>
      <c r="D14" s="35">
        <f>COUNTIF(NORMATIVOS!M3:M279,"En proceso")</f>
        <v>39</v>
      </c>
      <c r="E14" s="35">
        <f>COUNTIF(NORMATIVOS!M3:M279,"Proyección")</f>
        <v>101</v>
      </c>
      <c r="F14" s="35">
        <f>COUNTIF(NORMATIVOS!M3:M279,"N/A")</f>
        <v>0</v>
      </c>
      <c r="G14" s="36">
        <f t="shared" si="0"/>
        <v>0.4756554307116105</v>
      </c>
      <c r="H14" s="42" t="str">
        <f t="shared" si="1"/>
        <v>Avance inicial</v>
      </c>
    </row>
    <row r="15" spans="1:8">
      <c r="A15" s="41" t="s">
        <v>11</v>
      </c>
      <c r="B15" s="35">
        <f>COUNTA(NORMATIVOS!N3:N279)</f>
        <v>267</v>
      </c>
      <c r="C15" s="35">
        <f>COUNTIF(NORMATIVOS!N3:N279,"Consolidado")</f>
        <v>125</v>
      </c>
      <c r="D15" s="35">
        <f>COUNTIF(NORMATIVOS!N3:N279,"En proceso")</f>
        <v>42</v>
      </c>
      <c r="E15" s="35">
        <f>COUNTIF(NORMATIVOS!N3:N279,"Proyección")</f>
        <v>100</v>
      </c>
      <c r="F15" s="35">
        <f>COUNTIF(NORMATIVOS!N3:N279,"N/A")</f>
        <v>0</v>
      </c>
      <c r="G15" s="36">
        <f t="shared" si="0"/>
        <v>0.4681647940074906</v>
      </c>
      <c r="H15" s="42" t="str">
        <f t="shared" si="1"/>
        <v>Avance inicial</v>
      </c>
    </row>
    <row r="16" spans="1:8">
      <c r="A16" s="41" t="s">
        <v>12</v>
      </c>
      <c r="B16" s="35">
        <f>COUNTA(NORMATIVOS!O3:O279)</f>
        <v>267</v>
      </c>
      <c r="C16" s="35">
        <f>COUNTIF(NORMATIVOS!O3:O279,"Consolidado")</f>
        <v>110</v>
      </c>
      <c r="D16" s="35">
        <f>COUNTIF(NORMATIVOS!O3:O279,"En proceso")</f>
        <v>49</v>
      </c>
      <c r="E16" s="35">
        <f>COUNTIF(NORMATIVOS!O3:O279,"Proyección")</f>
        <v>108</v>
      </c>
      <c r="F16" s="35">
        <f>COUNTIF(NORMATIVOS!O3:O279,"N/A")</f>
        <v>0</v>
      </c>
      <c r="G16" s="36">
        <f t="shared" si="0"/>
        <v>0.41198501872659177</v>
      </c>
      <c r="H16" s="42" t="str">
        <f t="shared" si="1"/>
        <v>Avance inicial</v>
      </c>
    </row>
    <row r="17" spans="1:8">
      <c r="A17" s="41" t="s">
        <v>13</v>
      </c>
      <c r="B17" s="35">
        <f>COUNTA(NORMATIVOS!P3:P279)</f>
        <v>267</v>
      </c>
      <c r="C17" s="35">
        <f>COUNTIF(NORMATIVOS!P3:P279,"Consolidado")</f>
        <v>100</v>
      </c>
      <c r="D17" s="35">
        <f>COUNTIF(NORMATIVOS!P3:P279,"En proceso")</f>
        <v>56</v>
      </c>
      <c r="E17" s="35">
        <f>COUNTIF(NORMATIVOS!P3:P279,"Proyección")</f>
        <v>111</v>
      </c>
      <c r="F17" s="35">
        <f>COUNTIF(NORMATIVOS!P3:P279,"N/A")</f>
        <v>0</v>
      </c>
      <c r="G17" s="36">
        <f t="shared" si="0"/>
        <v>0.37453183520599254</v>
      </c>
      <c r="H17" s="42" t="str">
        <f t="shared" si="1"/>
        <v>Avance inicial</v>
      </c>
    </row>
    <row r="18" spans="1:8">
      <c r="A18" s="41" t="s">
        <v>14</v>
      </c>
      <c r="B18" s="35">
        <f>COUNTA(NORMATIVOS!Q3:Q279)</f>
        <v>267</v>
      </c>
      <c r="C18" s="35">
        <f>COUNTIF(NORMATIVOS!Q3:Q279,"Consolidado")</f>
        <v>111</v>
      </c>
      <c r="D18" s="35">
        <f>COUNTIF(NORMATIVOS!Q3:Q279,"En proceso")</f>
        <v>35</v>
      </c>
      <c r="E18" s="35">
        <f>COUNTIF(NORMATIVOS!Q3:Q279,"Proyección")</f>
        <v>121</v>
      </c>
      <c r="F18" s="35">
        <f>COUNTIF(NORMATIVOS!Q3:Q279,"N/A")</f>
        <v>0</v>
      </c>
      <c r="G18" s="36">
        <f t="shared" si="0"/>
        <v>0.4157303370786517</v>
      </c>
      <c r="H18" s="42" t="str">
        <f t="shared" si="1"/>
        <v>Avance inicial</v>
      </c>
    </row>
    <row r="19" spans="1:8">
      <c r="A19" s="41" t="s">
        <v>15</v>
      </c>
      <c r="B19" s="35">
        <f>COUNTA(NORMATIVOS!R3:R279)</f>
        <v>267</v>
      </c>
      <c r="C19" s="35">
        <f>COUNTIF(NORMATIVOS!R3:R279,"Consolidado")</f>
        <v>74</v>
      </c>
      <c r="D19" s="35">
        <f>COUNTIF(NORMATIVOS!R3:R279,"En proceso")</f>
        <v>37</v>
      </c>
      <c r="E19" s="35">
        <f>COUNTIF(NORMATIVOS!R3:R279,"Proyección")</f>
        <v>156</v>
      </c>
      <c r="F19" s="35">
        <f>COUNTIF(NORMATIVOS!R3:R279,"N/A")</f>
        <v>0</v>
      </c>
      <c r="G19" s="36">
        <f t="shared" si="0"/>
        <v>0.27715355805243447</v>
      </c>
      <c r="H19" s="42" t="str">
        <f t="shared" si="1"/>
        <v>Base solida</v>
      </c>
    </row>
    <row r="20" spans="1:8">
      <c r="A20" s="41" t="s">
        <v>16</v>
      </c>
      <c r="B20" s="35">
        <f>COUNTA(NORMATIVOS!S3:S279)</f>
        <v>267</v>
      </c>
      <c r="C20" s="35">
        <f>COUNTIF(NORMATIVOS!S3:S279,"Consolidado")</f>
        <v>77</v>
      </c>
      <c r="D20" s="35">
        <f>COUNTIF(NORMATIVOS!S3:S279,"En proceso")</f>
        <v>33</v>
      </c>
      <c r="E20" s="35">
        <f>COUNTIF(NORMATIVOS!S3:S279,"Proyección")</f>
        <v>157</v>
      </c>
      <c r="F20" s="35">
        <f>COUNTIF(NORMATIVOS!S3:S279,"N/A")</f>
        <v>0</v>
      </c>
      <c r="G20" s="36">
        <f t="shared" si="0"/>
        <v>0.2883895131086142</v>
      </c>
      <c r="H20" s="42" t="str">
        <f t="shared" si="1"/>
        <v>Base solida</v>
      </c>
    </row>
    <row r="21" spans="1:8">
      <c r="A21" s="41" t="s">
        <v>17</v>
      </c>
      <c r="B21" s="35">
        <f>COUNTA(NORMATIVOS!T3:T279)</f>
        <v>267</v>
      </c>
      <c r="C21" s="35">
        <f>COUNTIF(NORMATIVOS!T3:T279,"Consolidado")</f>
        <v>73</v>
      </c>
      <c r="D21" s="35">
        <f>COUNTIF(NORMATIVOS!T3:T279,"En proceso")</f>
        <v>37</v>
      </c>
      <c r="E21" s="35">
        <f>COUNTIF(NORMATIVOS!T3:T279,"Proyección")</f>
        <v>157</v>
      </c>
      <c r="F21" s="35">
        <f>COUNTIF(NORMATIVOS!T3:T279,"N/A")</f>
        <v>0</v>
      </c>
      <c r="G21" s="36">
        <f t="shared" si="0"/>
        <v>0.27340823970037453</v>
      </c>
      <c r="H21" s="42" t="str">
        <f t="shared" si="1"/>
        <v>Base solida</v>
      </c>
    </row>
    <row r="22" spans="1:8">
      <c r="A22" s="41" t="s">
        <v>18</v>
      </c>
      <c r="B22" s="35">
        <f>COUNTA(NORMATIVOS!U3:U279)</f>
        <v>267</v>
      </c>
      <c r="C22" s="35">
        <f>COUNTIF(NORMATIVOS!U3:U279,"Consolidado")</f>
        <v>69</v>
      </c>
      <c r="D22" s="35">
        <f>COUNTIF(NORMATIVOS!U3:U279,"En proceso")</f>
        <v>40</v>
      </c>
      <c r="E22" s="35">
        <f>COUNTIF(NORMATIVOS!U3:U279,"Proyección")</f>
        <v>157</v>
      </c>
      <c r="F22" s="35">
        <f>COUNTIF(NORMATIVOS!U3:U279,"N/A")</f>
        <v>1</v>
      </c>
      <c r="G22" s="36">
        <f t="shared" si="0"/>
        <v>0.25842696629213485</v>
      </c>
      <c r="H22" s="42" t="str">
        <f t="shared" si="1"/>
        <v>Base solida</v>
      </c>
    </row>
    <row r="23" spans="1:8">
      <c r="A23" s="41" t="s">
        <v>19</v>
      </c>
      <c r="B23" s="35">
        <f>COUNTA(NORMATIVOS!V3:V279)</f>
        <v>267</v>
      </c>
      <c r="C23" s="35">
        <f>COUNTIF(NORMATIVOS!V3:V279,"Consolidado")</f>
        <v>76</v>
      </c>
      <c r="D23" s="35">
        <f>COUNTIF(NORMATIVOS!V3:V279,"En proceso")</f>
        <v>32</v>
      </c>
      <c r="E23" s="35">
        <f>COUNTIF(NORMATIVOS!V3:V279,"Proyección")</f>
        <v>158</v>
      </c>
      <c r="F23" s="35">
        <f>COUNTIF(NORMATIVOS!V3:V279,"N/A")</f>
        <v>1</v>
      </c>
      <c r="G23" s="36">
        <f t="shared" si="0"/>
        <v>0.2846441947565543</v>
      </c>
      <c r="H23" s="42" t="str">
        <f t="shared" si="1"/>
        <v>Base solida</v>
      </c>
    </row>
    <row r="24" spans="1:8">
      <c r="A24" s="41" t="s">
        <v>20</v>
      </c>
      <c r="B24" s="35">
        <f>COUNTA(NORMATIVOS!W3:W279)</f>
        <v>267</v>
      </c>
      <c r="C24" s="35">
        <f>COUNTIF(NORMATIVOS!W3:W279,"Consolidado")</f>
        <v>68</v>
      </c>
      <c r="D24" s="35">
        <f>COUNTIF(NORMATIVOS!W3:W279,"En proceso")</f>
        <v>42</v>
      </c>
      <c r="E24" s="35">
        <f>COUNTIF(NORMATIVOS!W3:W279,"Proyección")</f>
        <v>157</v>
      </c>
      <c r="F24" s="35">
        <f>COUNTIF(NORMATIVOS!W3:W279,"N/A")</f>
        <v>0</v>
      </c>
      <c r="G24" s="36">
        <f t="shared" si="0"/>
        <v>0.2546816479400749</v>
      </c>
      <c r="H24" s="42" t="str">
        <f t="shared" si="1"/>
        <v>Base solida</v>
      </c>
    </row>
    <row r="25" spans="1:8">
      <c r="A25" s="41" t="s">
        <v>21</v>
      </c>
      <c r="B25" s="35">
        <f>COUNTA(NORMATIVOS!X3:X279)</f>
        <v>267</v>
      </c>
      <c r="C25" s="35">
        <f>COUNTIF(NORMATIVOS!X3:X279,"Consolidado")</f>
        <v>68</v>
      </c>
      <c r="D25" s="35">
        <f>COUNTIF(NORMATIVOS!X3:X279,"En proceso")</f>
        <v>41</v>
      </c>
      <c r="E25" s="35">
        <f>COUNTIF(NORMATIVOS!X3:X279,"Proyección")</f>
        <v>158</v>
      </c>
      <c r="F25" s="35">
        <f>COUNTIF(NORMATIVOS!X3:X279,"N/A")</f>
        <v>0</v>
      </c>
      <c r="G25" s="36">
        <f t="shared" si="0"/>
        <v>0.2546816479400749</v>
      </c>
      <c r="H25" s="42" t="str">
        <f t="shared" si="1"/>
        <v>Base solida</v>
      </c>
    </row>
    <row r="26" spans="1:8">
      <c r="A26" s="41" t="s">
        <v>22</v>
      </c>
      <c r="B26" s="35">
        <f>COUNTA(NORMATIVOS!Y3:Y279)</f>
        <v>267</v>
      </c>
      <c r="C26" s="35">
        <f>COUNTIF(NORMATIVOS!Y3:Y279,"Consolidado")</f>
        <v>69</v>
      </c>
      <c r="D26" s="35">
        <f>COUNTIF(NORMATIVOS!Y3:Y279,"En proceso")</f>
        <v>43</v>
      </c>
      <c r="E26" s="35">
        <f>COUNTIF(NORMATIVOS!Y3:Y279,"Proyección")</f>
        <v>154</v>
      </c>
      <c r="F26" s="35">
        <f>COUNTIF(NORMATIVOS!Y3:Y279,"N/A")</f>
        <v>1</v>
      </c>
      <c r="G26" s="36">
        <f t="shared" si="0"/>
        <v>0.25842696629213485</v>
      </c>
      <c r="H26" s="42" t="str">
        <f t="shared" si="1"/>
        <v>Base solida</v>
      </c>
    </row>
    <row r="27" spans="1:8">
      <c r="A27" s="41" t="s">
        <v>23</v>
      </c>
      <c r="B27" s="35">
        <f>COUNTA(NORMATIVOS!Z3:Z279)</f>
        <v>267</v>
      </c>
      <c r="C27" s="35">
        <f>COUNTIF(NORMATIVOS!Z3:Z279,"Consolidado")</f>
        <v>65</v>
      </c>
      <c r="D27" s="35">
        <f>COUNTIF(NORMATIVOS!Z3:Z279,"En proceso")</f>
        <v>43</v>
      </c>
      <c r="E27" s="35">
        <f>COUNTIF(NORMATIVOS!Z3:Z279,"Proyección")</f>
        <v>158</v>
      </c>
      <c r="F27" s="35">
        <f>COUNTIF(NORMATIVOS!Z3:Z279,"N/A")</f>
        <v>1</v>
      </c>
      <c r="G27" s="36">
        <f t="shared" si="0"/>
        <v>0.24344569288389514</v>
      </c>
      <c r="H27" s="42" t="str">
        <f t="shared" si="1"/>
        <v>Base solida</v>
      </c>
    </row>
    <row r="28" spans="1:8">
      <c r="A28" s="41" t="s">
        <v>24</v>
      </c>
      <c r="B28" s="35">
        <f>COUNTA(NORMATIVOS!AA3:AA279)</f>
        <v>267</v>
      </c>
      <c r="C28" s="35">
        <f>COUNTIF(NORMATIVOS!AA3:AA279,"Consolidado")</f>
        <v>66</v>
      </c>
      <c r="D28" s="35">
        <f>COUNTIF(NORMATIVOS!AA3:AA279,"En proceso")</f>
        <v>42</v>
      </c>
      <c r="E28" s="35">
        <f>COUNTIF(NORMATIVOS!AA3:AA279,"Proyección")</f>
        <v>158</v>
      </c>
      <c r="F28" s="35">
        <f>COUNTIF(NORMATIVOS!AA3:AA279,"N/A")</f>
        <v>1</v>
      </c>
      <c r="G28" s="36">
        <f t="shared" si="0"/>
        <v>0.24719101123595505</v>
      </c>
      <c r="H28" s="42" t="str">
        <f t="shared" si="1"/>
        <v>Base solida</v>
      </c>
    </row>
    <row r="29" spans="1:8">
      <c r="A29" s="41" t="s">
        <v>25</v>
      </c>
      <c r="B29" s="35">
        <f>COUNTA(NORMATIVOS!AB3:AB279)</f>
        <v>267</v>
      </c>
      <c r="C29" s="35">
        <f>COUNTIF(NORMATIVOS!AB3:AB279,"Consolidado")</f>
        <v>82</v>
      </c>
      <c r="D29" s="35">
        <f>COUNTIF(NORMATIVOS!AB3:AB279,"En proceso")</f>
        <v>32</v>
      </c>
      <c r="E29" s="35">
        <f>COUNTIF(NORMATIVOS!AB3:AB279,"Proyección")</f>
        <v>151</v>
      </c>
      <c r="F29" s="35">
        <f>COUNTIF(NORMATIVOS!AB3:AB279,"N/A")</f>
        <v>2</v>
      </c>
      <c r="G29" s="36">
        <f t="shared" si="0"/>
        <v>0.30711610486891383</v>
      </c>
      <c r="H29" s="42" t="str">
        <f t="shared" si="1"/>
        <v>Avance inicial</v>
      </c>
    </row>
    <row r="30" spans="1:8">
      <c r="A30" s="41" t="s">
        <v>26</v>
      </c>
      <c r="B30" s="35">
        <f>COUNTA(NORMATIVOS!AC3:AC279)</f>
        <v>267</v>
      </c>
      <c r="C30" s="35">
        <f>COUNTIF(NORMATIVOS!AC3:AC279,"Consolidado")</f>
        <v>63</v>
      </c>
      <c r="D30" s="35">
        <f>COUNTIF(NORMATIVOS!AC3:AC279,"En proceso")</f>
        <v>42</v>
      </c>
      <c r="E30" s="35">
        <f>COUNTIF(NORMATIVOS!AC3:AC279,"Proyección")</f>
        <v>161</v>
      </c>
      <c r="F30" s="35">
        <f>COUNTIF(NORMATIVOS!AC3:AC279,"N/A")</f>
        <v>1</v>
      </c>
      <c r="G30" s="36">
        <f t="shared" si="0"/>
        <v>0.23595505617977527</v>
      </c>
      <c r="H30" s="42" t="str">
        <f t="shared" si="1"/>
        <v>Base solida</v>
      </c>
    </row>
    <row r="31" spans="1:8">
      <c r="A31" s="41" t="s">
        <v>27</v>
      </c>
      <c r="B31" s="35">
        <f>COUNTA(NORMATIVOS!AD3:AD279)</f>
        <v>267</v>
      </c>
      <c r="C31" s="35">
        <f>COUNTIF(NORMATIVOS!AD3:AD279,"Consolidado")</f>
        <v>37</v>
      </c>
      <c r="D31" s="35">
        <f>COUNTIF(NORMATIVOS!AD3:AD279,"En proceso")</f>
        <v>37</v>
      </c>
      <c r="E31" s="35">
        <f>COUNTIF(NORMATIVOS!AD3:AD279,"Proyección")</f>
        <v>193</v>
      </c>
      <c r="F31" s="35">
        <f>COUNTIF(NORMATIVOS!AD3:AD279,"N/A")</f>
        <v>0</v>
      </c>
      <c r="G31" s="36">
        <f t="shared" si="0"/>
        <v>0.13857677902621723</v>
      </c>
      <c r="H31" s="42" t="str">
        <f t="shared" si="1"/>
        <v>Base solida</v>
      </c>
    </row>
    <row r="32" spans="1:8">
      <c r="A32" s="41" t="s">
        <v>28</v>
      </c>
      <c r="B32" s="35">
        <f>COUNTA(NORMATIVOS!AE3:AE279)</f>
        <v>267</v>
      </c>
      <c r="C32" s="35">
        <f>COUNTIF(NORMATIVOS!AE3:AE279,"Consolidado")</f>
        <v>25</v>
      </c>
      <c r="D32" s="35">
        <f>COUNTIF(NORMATIVOS!AE3:AE279,"En proceso")</f>
        <v>32</v>
      </c>
      <c r="E32" s="35">
        <f>COUNTIF(NORMATIVOS!AE3:AE279,"Proyección")</f>
        <v>210</v>
      </c>
      <c r="F32" s="35">
        <f>COUNTIF(NORMATIVOS!AE3:AE279,"N/A")</f>
        <v>0</v>
      </c>
      <c r="G32" s="36">
        <f t="shared" si="0"/>
        <v>0.09363295880149813</v>
      </c>
      <c r="H32" s="42" t="str">
        <f t="shared" si="1"/>
        <v>Base inicial</v>
      </c>
    </row>
    <row r="33" spans="1:8" ht="15.75" thickBot="1">
      <c r="A33" s="43" t="s">
        <v>29</v>
      </c>
      <c r="B33" s="44">
        <f>COUNTA(NORMATIVOS!AF3:AF279)</f>
        <v>267</v>
      </c>
      <c r="C33" s="44">
        <f>COUNTIF(NORMATIVOS!AF3:AF279,"Consolidado")</f>
        <v>12</v>
      </c>
      <c r="D33" s="44">
        <f>COUNTIF(NORMATIVOS!AF3:AF279,"En proceso")</f>
        <v>37</v>
      </c>
      <c r="E33" s="44">
        <f>COUNTIF(NORMATIVOS!AF3:AF279,"Proyección")</f>
        <v>218</v>
      </c>
      <c r="F33" s="44">
        <f>COUNTIF(NORMATIVOS!AF3:AF279,"N/A")</f>
        <v>0</v>
      </c>
      <c r="G33" s="45">
        <f t="shared" si="0"/>
        <v>0.0449438202247191</v>
      </c>
      <c r="H33" s="46" t="str">
        <f t="shared" si="1"/>
        <v>Base inicial</v>
      </c>
    </row>
  </sheetData>
  <mergeCells count="1">
    <mergeCell ref="A1:H1"/>
  </mergeCells>
  <conditionalFormatting sqref="H1:H1048576">
    <cfRule type="containsText" dxfId="4" priority="1" operator="containsText" text="Alto avance">
      <formula>NOT(ISERROR(SEARCH("Alto avance",H1)))</formula>
    </cfRule>
    <cfRule type="containsText" dxfId="3" priority="2" operator="containsText" text="Avance medio">
      <formula>NOT(ISERROR(SEARCH("Avance medio",H1)))</formula>
    </cfRule>
    <cfRule type="containsText" dxfId="2" priority="3" operator="containsText" text="Avance inicial">
      <formula>NOT(ISERROR(SEARCH("Avance inicial",H1)))</formula>
    </cfRule>
    <cfRule type="containsText" dxfId="1" priority="4" operator="containsText" text="Base solida">
      <formula>NOT(ISERROR(SEARCH("Base solida",H1)))</formula>
    </cfRule>
    <cfRule type="containsText" dxfId="0" priority="5" operator="containsText" text="Base inicial">
      <formula>NOT(ISERROR(SEARCH("Base inicial",H1)))</formula>
    </cfRule>
  </conditionalFormatting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showGridLines="0" zoomScale="90" workbookViewId="0">
      <selection activeCell="C8" sqref="C8"/>
    </sheetView>
  </sheetViews>
  <sheetFormatPr baseColWidth="10" defaultColWidth="8.85546875" defaultRowHeight="15"/>
  <cols>
    <col min="1" max="1" width="20" customWidth="1"/>
    <col min="3" max="3" width="28" customWidth="1"/>
    <col min="5" max="5" width="65" customWidth="1"/>
  </cols>
  <sheetData>
    <row r="1" spans="1:5">
      <c r="A1" s="10" t="s">
        <v>296</v>
      </c>
      <c r="C1" s="10" t="s">
        <v>297</v>
      </c>
      <c r="E1" s="10" t="s">
        <v>298</v>
      </c>
    </row>
    <row r="2" spans="1:5">
      <c r="A2" t="s">
        <v>299</v>
      </c>
      <c r="C2" t="s">
        <v>31</v>
      </c>
      <c r="E2" t="s">
        <v>300</v>
      </c>
    </row>
    <row r="3" spans="1:5">
      <c r="A3" t="s">
        <v>34</v>
      </c>
      <c r="C3" t="s">
        <v>301</v>
      </c>
      <c r="E3" t="s">
        <v>302</v>
      </c>
    </row>
    <row r="4" spans="1:5">
      <c r="A4" t="s">
        <v>303</v>
      </c>
      <c r="C4" t="s">
        <v>304</v>
      </c>
      <c r="E4" t="s">
        <v>305</v>
      </c>
    </row>
    <row r="5" spans="1:5">
      <c r="A5" t="s">
        <v>33</v>
      </c>
      <c r="C5" t="s">
        <v>306</v>
      </c>
      <c r="E5" t="s">
        <v>307</v>
      </c>
    </row>
    <row r="6" spans="1:5">
      <c r="C6" t="s">
        <v>82</v>
      </c>
    </row>
    <row r="7" spans="1:5">
      <c r="C7" t="s">
        <v>99</v>
      </c>
    </row>
    <row r="8" spans="1:5">
      <c r="C8" t="s">
        <v>109</v>
      </c>
    </row>
    <row r="9" spans="1:5">
      <c r="C9" t="s">
        <v>135</v>
      </c>
    </row>
    <row r="10" spans="1:5">
      <c r="C10" t="s">
        <v>150</v>
      </c>
    </row>
    <row r="11" spans="1:5">
      <c r="C11" t="s">
        <v>172</v>
      </c>
    </row>
    <row r="12" spans="1:5">
      <c r="C12" t="s">
        <v>180</v>
      </c>
    </row>
    <row r="13" spans="1:5">
      <c r="C13" t="s">
        <v>308</v>
      </c>
    </row>
    <row r="14" spans="1:5">
      <c r="C14" t="s">
        <v>220</v>
      </c>
    </row>
    <row r="15" spans="1:5">
      <c r="C15" t="s">
        <v>242</v>
      </c>
    </row>
    <row r="16" spans="1:5">
      <c r="C16" t="s">
        <v>253</v>
      </c>
    </row>
    <row r="17" spans="3:3">
      <c r="C17" t="s">
        <v>278</v>
      </c>
    </row>
  </sheetData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NORMATIVOS</vt:lpstr>
      <vt:lpstr>FICHA DEL ATLETA</vt:lpstr>
      <vt:lpstr>INDICADORES</vt:lpstr>
      <vt:lpstr>CONSOLIDADO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Jaime Morales Gimnasia Varonil Kids Center</dc:creator>
  <cp:lastModifiedBy>José Manuel Jaime Morales Gimnasia Varonil Kids Center</cp:lastModifiedBy>
  <dcterms:created xsi:type="dcterms:W3CDTF">2026-09-17T07:15:24Z</dcterms:created>
  <dcterms:modified xsi:type="dcterms:W3CDTF">2026-10-01T16:54:43Z</dcterms:modified>
</cp:coreProperties>
</file>